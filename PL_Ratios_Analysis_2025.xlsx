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&amp;L Statement" sheetId="2" state="visible" r:id="rId4"/>
    <sheet name="Rat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<sst xmlns="http://schemas.openxmlformats.org/spreadsheetml/2006/main" count="116" uniqueCount="93">
  <si>
    <t xml:space="preserve">Company P&amp;L 2025 — Executive Summary</t>
  </si>
  <si>
    <t xml:space="preserve">FY 2025 · All amounts in Turkish Lira (₺)</t>
  </si>
  <si>
    <t xml:space="preserve">⚠ SYNTHETIC / DUMMY DATA — generated to demonstrate FP&amp;A methodology. No real company figures.</t>
  </si>
  <si>
    <t xml:space="preserve">Headline KPIs</t>
  </si>
  <si>
    <t xml:space="preserve">Total Revenue</t>
  </si>
  <si>
    <t xml:space="preserve">Total Expenses</t>
  </si>
  <si>
    <t xml:space="preserve">Net Profit</t>
  </si>
  <si>
    <t xml:space="preserve">Contribution Margin</t>
  </si>
  <si>
    <t xml:space="preserve">Net Margin %</t>
  </si>
  <si>
    <t xml:space="preserve">Cost Ratio</t>
  </si>
  <si>
    <t xml:space="preserve">Variable Cost Ratio</t>
  </si>
  <si>
    <t xml:space="preserve">Fixed Cost Ratio</t>
  </si>
  <si>
    <t xml:space="preserve">Loss Months (count)</t>
  </si>
  <si>
    <t xml:space="preserve">Quarterly Breakdown</t>
  </si>
  <si>
    <t xml:space="preserve">Quarter</t>
  </si>
  <si>
    <t xml:space="preserve">Revenue (₺)</t>
  </si>
  <si>
    <t xml:space="preserve">Expenses (₺)</t>
  </si>
  <si>
    <t xml:space="preserve">Net (₺)</t>
  </si>
  <si>
    <t xml:space="preserve">Q1</t>
  </si>
  <si>
    <t xml:space="preserve">Q2</t>
  </si>
  <si>
    <t xml:space="preserve">Q3</t>
  </si>
  <si>
    <t xml:space="preserve">Q4</t>
  </si>
  <si>
    <t xml:space="preserve">FY 2025</t>
  </si>
  <si>
    <t xml:space="preserve">Legend</t>
  </si>
  <si>
    <t xml:space="preserve">Blue text = hardcoded monthly input   ·   Black = in-sheet formula   ·   Green = link to another tab</t>
  </si>
  <si>
    <t xml:space="preserve">Edit only the blue input cells on the P&amp;L Statement tab; every total and ratio recalculates.</t>
  </si>
  <si>
    <t xml:space="preserve">Company P&amp;L Statement — FY 2025</t>
  </si>
  <si>
    <t xml:space="preserve">Full-year Profit &amp; Loss by month · All amounts in Turkish Lira (₺) · SYNTHETIC / DUMMY DATA</t>
  </si>
  <si>
    <t xml:space="preserve">Line Item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</si>
  <si>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</si>
  <si>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</si>
  <si>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</si>
  <si>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</si>
  <si>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</si>
  <si>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</si>
  <si>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</si>
  <si>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</si>
  <si>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</si>
  <si>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</si>
  <si>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</si>
  <si>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</si>
  <si>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REVENUE</t>
  </si>
  <si>
    <t xml:space="preserve">Domestic Sales</t>
  </si>
  <si>
    <t xml:space="preserve">Export Sales</t>
  </si>
  <si>
    <t xml:space="preserve">Product A Sales</t>
  </si>
  <si>
    <t xml:space="preserve">Product B Sales</t>
  </si>
  <si>
    <t xml:space="preserve">VARIABLE COSTS</t>
  </si>
  <si>
    <t xml:space="preserve">General Production Costs</t>
  </si>
  <si>
    <t xml:space="preserve">Raw Material A</t>
  </si>
  <si>
    <t xml:space="preserve">Raw Material B</t>
  </si>
  <si>
    <t xml:space="preserve">Subcontractor Payments</t>
  </si>
  <si>
    <t xml:space="preserve">Trade Goods X</t>
  </si>
  <si>
    <t xml:space="preserve">Trade Goods Y</t>
  </si>
  <si>
    <t xml:space="preserve">  Operating (COGS) subtotal</t>
  </si>
  <si>
    <t xml:space="preserve">Marketing &amp; Distribution (semi-variable)</t>
  </si>
  <si>
    <t xml:space="preserve">FX Losses</t>
  </si>
  <si>
    <t xml:space="preserve">Other Ordinary Losses</t>
  </si>
  <si>
    <t xml:space="preserve">Short-Term Borrowing Costs</t>
  </si>
  <si>
    <t xml:space="preserve">Total Variable Costs</t>
  </si>
  <si>
    <t xml:space="preserve">CONTRIBUTION MARGIN</t>
  </si>
  <si>
    <t xml:space="preserve">FIXED COSTS</t>
  </si>
  <si>
    <t xml:space="preserve">Salary &amp; Social Security</t>
  </si>
  <si>
    <t xml:space="preserve">Loan Installments</t>
  </si>
  <si>
    <t xml:space="preserve">Financing Costs</t>
  </si>
  <si>
    <t xml:space="preserve">Credit Card Payments</t>
  </si>
  <si>
    <t xml:space="preserve">General &amp; Admin Costs</t>
  </si>
  <si>
    <t xml:space="preserve">Overtime</t>
  </si>
  <si>
    <t xml:space="preserve">Vehicle Insurance &amp; Tax</t>
  </si>
  <si>
    <t xml:space="preserve">Bonus Expense</t>
  </si>
  <si>
    <t xml:space="preserve">Water Expense</t>
  </si>
  <si>
    <t xml:space="preserve">Total Fixed Costs</t>
  </si>
  <si>
    <t xml:space="preserve">Total Operating Expenses</t>
  </si>
  <si>
    <t xml:space="preserve">NET PROFIT / (LOSS)</t>
  </si>
  <si>
    <t xml:space="preserve">Cumulative Net Profit</t>
  </si>
  <si>
    <t xml:space="preserve">Financial Ratios &amp; KPIs — FY 2025</t>
  </si>
  <si>
    <t xml:space="preserve">All ratios computed live from the P&amp;L Statement tab · SYNTHETIC / DUMMY DATA</t>
  </si>
  <si>
    <t xml:space="preserve">Ratio / Metric</t>
  </si>
  <si>
    <t xml:space="preserve">BASE FIGURES (₺)</t>
  </si>
  <si>
    <t xml:space="preserve">Net Profit / (Loss)</t>
  </si>
  <si>
    <t xml:space="preserve">PROFITABILITY MARGINS</t>
  </si>
  <si>
    <t xml:space="preserve">Gross Margin % (ex-COGS)</t>
  </si>
  <si>
    <t xml:space="preserve">Contribution Margin %</t>
  </si>
  <si>
    <t xml:space="preserve">Net Profit Margin %</t>
  </si>
  <si>
    <t xml:space="preserve">COST STRUCTURE</t>
  </si>
  <si>
    <t xml:space="preserve">Cost Ratio (Exp / Rev)</t>
  </si>
  <si>
    <t xml:space="preserve">Variable % of Total Cost</t>
  </si>
  <si>
    <t xml:space="preserve">Fixed % of Total Cost</t>
  </si>
  <si>
    <t xml:space="preserve">GROWTH (month-over-month)</t>
  </si>
  <si>
    <t xml:space="preserve">Revenue MoM Growth %</t>
  </si>
  <si>
    <t xml:space="preserve">Net Profit MoM Growth %</t>
  </si>
  <si>
    <t xml:space="preserve">BREAK-EVEN &amp; RISK</t>
  </si>
  <si>
    <t xml:space="preserve">Break-even Revenue (₺)</t>
  </si>
  <si>
    <t xml:space="preserve">Margin of Safety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</si>
</sst>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6E56"/>
      <name val="Arial"/>
      <family val="0"/>
      <charset val="1"/>
    </font>
    <font>
      <sz val="10"/>
      <color rgb="FF6B7280"/>
      <name val="Arial"/>
      <family val="0"/>
      <charset val="1"/>
    </font>
    <font>
      <i val="true"/>
      <sz val="9"/>
      <color rgb="FFA32D2D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5"/>
      <color rgb="FF0F6E56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1F5F4"/>
        <bgColor rgb="FFE8F0ED"/>
      </patternFill>
    </fill>
    <fill>
      <patternFill patternType="solid">
        <fgColor rgb="FFE8F0ED"/>
        <bgColor rgb="FFF1F5F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08080"/>
      <rgbColor rgb="FF9999FF"/>
      <rgbColor rgb="FF993366"/>
      <rgbColor rgb="FFF1F5F4"/>
      <rgbColor rgb="FFE8F0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f aca="false">'P&amp;L Statement'!N10</f>
        <v>134122304.1</v>
      </c>
    </row>
    <row r="7" customFormat="false" ht="15" hidden="false" customHeight="false" outlineLevel="0" collapsed="false">
      <c r="A7" s="5" t="s">
        <v>5</v>
      </c>
      <c r="B7" s="6" t="n">
        <f aca="false">'P&amp;L Statement'!N40</f>
        <v>114990332.5</v>
      </c>
    </row>
    <row r="8" customFormat="false" ht="15" hidden="false" customHeight="false" outlineLevel="0" collapsed="false">
      <c r="A8" s="5" t="s">
        <v>6</v>
      </c>
      <c r="B8" s="6" t="n">
        <f aca="false">'P&amp;L Statement'!N41</f>
        <v>19131971.6</v>
      </c>
    </row>
    <row r="9" customFormat="false" ht="15" hidden="false" customHeight="false" outlineLevel="0" collapsed="false">
      <c r="A9" s="5" t="s">
        <v>7</v>
      </c>
      <c r="B9" s="6" t="n">
        <f aca="false">'P&amp;L Statement'!N26</f>
        <v>65698226.21</v>
      </c>
    </row>
    <row r="10" customFormat="false" ht="15" hidden="false" customHeight="false" outlineLevel="0" collapsed="false">
      <c r="A10" s="5" t="s">
        <v>8</v>
      </c>
      <c r="B10" s="7" t="n">
        <f aca="false">IF('P&amp;L Statement'!N10=0,0,'P&amp;L Statement'!N41/'P&amp;L Statement'!N10)</f>
        <v>0.142645712272699</v>
      </c>
    </row>
    <row r="11" customFormat="false" ht="15" hidden="false" customHeight="false" outlineLevel="0" collapsed="false">
      <c r="A11" s="5" t="s">
        <v>9</v>
      </c>
      <c r="B11" s="7" t="n">
        <f aca="false">IF('P&amp;L Statement'!N10=0,0,'P&amp;L Statement'!N40/'P&amp;L Statement'!N10)</f>
        <v>0.857354287727301</v>
      </c>
    </row>
    <row r="12" customFormat="false" ht="15" hidden="false" customHeight="false" outlineLevel="0" collapsed="false">
      <c r="A12" s="5" t="s">
        <v>10</v>
      </c>
      <c r="B12" s="7" t="n">
        <f aca="false">IF('P&amp;L Statement'!N10=0,0,'P&amp;L Statement'!N24/'P&amp;L Statement'!N10)</f>
        <v>0.510161813496612</v>
      </c>
    </row>
    <row r="13" customFormat="false" ht="15" hidden="false" customHeight="false" outlineLevel="0" collapsed="false">
      <c r="A13" s="5" t="s">
        <v>11</v>
      </c>
      <c r="B13" s="7" t="n">
        <f aca="false">IF('P&amp;L Statement'!N10=0,0,'P&amp;L Statement'!N38/'P&amp;L Statement'!N10)</f>
        <v>0.34719247423069</v>
      </c>
    </row>
    <row r="14" customFormat="false" ht="15" hidden="false" customHeight="false" outlineLevel="0" collapsed="false">
      <c r="A14" s="5" t="s">
        <v>12</v>
      </c>
      <c r="B14" s="8" t="n">
        <f aca="false">COUNTIF('P&amp;L Statement'!B41:M41,"&lt;0")</f>
        <v>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9" t="s">
        <v>14</v>
      </c>
      <c r="B18" s="10" t="s">
        <v>15</v>
      </c>
      <c r="C18" s="10" t="s">
        <v>16</v>
      </c>
      <c r="D18" s="10" t="s">
        <v>17</v>
      </c>
      <c r="E18" s="10" t="s">
        <v>8</v>
      </c>
    </row>
    <row r="19" customFormat="false" ht="15" hidden="false" customHeight="false" outlineLevel="0" collapsed="false">
      <c r="A19" s="5" t="s">
        <v>18</v>
      </c>
      <c r="B19" s="6" t="n">
        <f aca="false">SUM('P&amp;L Statement'!B10:D10)</f>
        <v>34157931.52</v>
      </c>
      <c r="C19" s="6" t="n">
        <f aca="false">SUM('P&amp;L Statement'!B40:D40)</f>
        <v>29505431.76</v>
      </c>
      <c r="D19" s="6" t="n">
        <f aca="false">SUM('P&amp;L Statement'!B41:D41)</f>
        <v>4652499.76</v>
      </c>
      <c r="E19" s="11" t="n">
        <f aca="false">IF(B19=0,0,D19/B19)</f>
        <v>0.136205547378532</v>
      </c>
    </row>
    <row r="20" customFormat="false" ht="15" hidden="false" customHeight="false" outlineLevel="0" collapsed="false">
      <c r="A20" s="5" t="s">
        <v>19</v>
      </c>
      <c r="B20" s="6" t="n">
        <f aca="false">SUM('P&amp;L Statement'!E10:G10)</f>
        <v>32113827.72</v>
      </c>
      <c r="C20" s="6" t="n">
        <f aca="false">SUM('P&amp;L Statement'!E40:G40)</f>
        <v>27848186.55</v>
      </c>
      <c r="D20" s="6" t="n">
        <f aca="false">SUM('P&amp;L Statement'!E41:G41)</f>
        <v>4265641.17</v>
      </c>
      <c r="E20" s="11" t="n">
        <f aca="false">IF(B20=0,0,D20/B20)</f>
        <v>0.132828799082815</v>
      </c>
    </row>
    <row r="21" customFormat="false" ht="15" hidden="false" customHeight="false" outlineLevel="0" collapsed="false">
      <c r="A21" s="5" t="s">
        <v>20</v>
      </c>
      <c r="B21" s="6" t="n">
        <f aca="false">SUM('P&amp;L Statement'!H10:J10)</f>
        <v>32041974.34</v>
      </c>
      <c r="C21" s="6" t="n">
        <f aca="false">SUM('P&amp;L Statement'!H40:J40)</f>
        <v>30128306.41</v>
      </c>
      <c r="D21" s="6" t="n">
        <f aca="false">SUM('P&amp;L Statement'!H41:J41)</f>
        <v>1913667.93</v>
      </c>
      <c r="E21" s="11" t="n">
        <f aca="false">IF(B21=0,0,D21/B21)</f>
        <v>0.0597237832380087</v>
      </c>
    </row>
    <row r="22" customFormat="false" ht="15" hidden="false" customHeight="false" outlineLevel="0" collapsed="false">
      <c r="A22" s="5" t="s">
        <v>21</v>
      </c>
      <c r="B22" s="6" t="n">
        <f aca="false">SUM('P&amp;L Statement'!K10:M10)</f>
        <v>35808570.52</v>
      </c>
      <c r="C22" s="6" t="n">
        <f aca="false">SUM('P&amp;L Statement'!K40:M40)</f>
        <v>27508407.78</v>
      </c>
      <c r="D22" s="6" t="n">
        <f aca="false">SUM('P&amp;L Statement'!K41:M41)</f>
        <v>8300162.74</v>
      </c>
      <c r="E22" s="11" t="n">
        <f aca="false">IF(B22=0,0,D22/B22)</f>
        <v>0.231792630073411</v>
      </c>
    </row>
    <row r="23" customFormat="false" ht="15" hidden="false" customHeight="false" outlineLevel="0" collapsed="false">
      <c r="A23" s="12" t="s">
        <v>22</v>
      </c>
      <c r="B23" s="13" t="n">
        <f aca="false">SUM(B19:B22)</f>
        <v>134122304.1</v>
      </c>
      <c r="C23" s="13" t="n">
        <f aca="false">SUM(C19:C22)</f>
        <v>114990332.5</v>
      </c>
      <c r="D23" s="13" t="n">
        <f aca="false">SUM(D19:D22)</f>
        <v>19131971.6</v>
      </c>
      <c r="E23" s="14" t="n">
        <f aca="false">IF(B23=0,0,D23/B23)</f>
        <v>0.142645712272699</v>
      </c>
    </row>
    <row r="26" customFormat="false" ht="15" hidden="false" customHeight="false" outlineLevel="0" collapsed="false">
      <c r="A26" s="15" t="s">
        <v>23</v>
      </c>
    </row>
    <row r="27" customFormat="false" ht="15" hidden="false" customHeight="false" outlineLevel="0" collapsed="false">
      <c r="A27" s="16" t="s">
        <v>24</v>
      </c>
    </row>
    <row r="28" customFormat="false" ht="15" hidden="false" customHeight="false" outlineLevel="0" collapsed="false">
      <c r="A28" s="1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8.55" hidden="false" customHeight="false" outlineLevel="0" collapsed="false">
      <c r="A1" s="17" t="s">
        <v>26</v>
      </c>
    </row>
    <row r="2" customFormat="false" ht="15" hidden="false" customHeight="false" outlineLevel="0" collapsed="false">
      <c r="A2" s="18" t="s">
        <v>27</v>
      </c>
    </row>
    <row r="4" customFormat="false" ht="15" hidden="false" customHeight="false" outlineLevel="0" collapsed="false">
      <c r="A4" s="9" t="s">
        <v>28</v>
      </c>
      <c r="B4" s="10" t="s">
        <v>29</v>
      </c>
      <c r="C4" s="10" t="s">
        <v>30</v>
      </c>
      <c r="D4" s="10" t="s">
        <v>31</v>
      </c>
      <c r="E4" s="10" t="s">
        <v>32</v>
      </c>
      <c r="F4" s="10" t="s">
        <v>33</v>
      </c>
      <c r="G4" s="10" t="s">
        <v>34</v>
      </c>
      <c r="H4" s="10" t="s">
        <v>35</v>
      </c>
      <c r="I4" s="10" t="s">
        <v>36</v>
      </c>
      <c r="J4" s="10" t="s">
        <v>37</v>
      </c>
      <c r="K4" s="10" t="s">
        <v>38</v>
      </c>
      <c r="L4" s="10" t="s">
        <v>39</v>
      </c>
      <c r="M4" s="10" t="s">
        <v>40</v>
      </c>
      <c r="N4" s="10" t="s">
        <v>22</v>
      </c>
    </row>
    <row r="5" customFormat="false" ht="15" hidden="false" customHeight="false" outlineLevel="0" collapsed="false">
      <c r="A5" s="19" t="s">
        <v>41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customFormat="false" ht="15" hidden="false" customHeight="false" outlineLevel="0" collapsed="false">
      <c r="A6" s="5" t="s">
        <v>42</v>
      </c>
      <c r="B6" s="21" t="n">
        <v>5301875.8</v>
      </c>
      <c r="C6" s="21" t="n">
        <v>5262257.55</v>
      </c>
      <c r="D6" s="21" t="n">
        <v>5346940.69</v>
      </c>
      <c r="E6" s="21" t="n">
        <v>6465227.62</v>
      </c>
      <c r="F6" s="21" t="n">
        <v>5324566.11</v>
      </c>
      <c r="G6" s="21" t="n">
        <v>3441139.06</v>
      </c>
      <c r="H6" s="21" t="n">
        <v>5956937.72</v>
      </c>
      <c r="I6" s="21" t="n">
        <v>5132410.97</v>
      </c>
      <c r="J6" s="21" t="n">
        <v>5201681.81</v>
      </c>
      <c r="K6" s="21" t="n">
        <v>5659341.58</v>
      </c>
      <c r="L6" s="21" t="n">
        <v>5819409.39</v>
      </c>
      <c r="M6" s="21" t="n">
        <v>7099893.19</v>
      </c>
      <c r="N6" s="22" t="n">
        <f aca="false">SUM(B6:M6)</f>
        <v>66011681.49</v>
      </c>
    </row>
    <row r="7" customFormat="false" ht="15" hidden="false" customHeight="false" outlineLevel="0" collapsed="false">
      <c r="A7" s="5" t="s">
        <v>43</v>
      </c>
      <c r="B7" s="21" t="n">
        <v>1396990.95</v>
      </c>
      <c r="C7" s="21" t="n">
        <v>1233152.15</v>
      </c>
      <c r="D7" s="21" t="n">
        <v>978503.52</v>
      </c>
      <c r="E7" s="21" t="n">
        <v>895601.29</v>
      </c>
      <c r="F7" s="21" t="n">
        <v>1273902.66</v>
      </c>
      <c r="G7" s="21" t="n">
        <v>1593324.25</v>
      </c>
      <c r="H7" s="21" t="n">
        <v>1212497.06</v>
      </c>
      <c r="I7" s="21" t="n">
        <v>1168103.01</v>
      </c>
      <c r="J7" s="21" t="n">
        <v>1359532.87</v>
      </c>
      <c r="K7" s="21" t="n">
        <v>763936.41</v>
      </c>
      <c r="L7" s="21" t="n">
        <v>1106316.8</v>
      </c>
      <c r="M7" s="21" t="n">
        <v>1347108.76</v>
      </c>
      <c r="N7" s="22" t="n">
        <f aca="false">SUM(B7:M7)</f>
        <v>14328969.73</v>
      </c>
    </row>
    <row r="8" customFormat="false" ht="15" hidden="false" customHeight="false" outlineLevel="0" collapsed="false">
      <c r="A8" s="5" t="s">
        <v>44</v>
      </c>
      <c r="B8" s="21" t="n">
        <v>3411383.07</v>
      </c>
      <c r="C8" s="21" t="n">
        <v>2631559.23</v>
      </c>
      <c r="D8" s="21" t="n">
        <v>3063619.9</v>
      </c>
      <c r="E8" s="21" t="n">
        <v>2973749.41</v>
      </c>
      <c r="F8" s="21" t="n">
        <v>3347628.77</v>
      </c>
      <c r="G8" s="21" t="n">
        <v>2020744.45</v>
      </c>
      <c r="H8" s="21" t="n">
        <v>3197775.48</v>
      </c>
      <c r="I8" s="21" t="n">
        <v>1739835.73</v>
      </c>
      <c r="J8" s="21" t="n">
        <v>966038.2</v>
      </c>
      <c r="K8" s="21" t="n">
        <v>2375176.49</v>
      </c>
      <c r="L8" s="21" t="n">
        <v>2158932.97</v>
      </c>
      <c r="M8" s="21" t="n">
        <v>3413208.57</v>
      </c>
      <c r="N8" s="22" t="n">
        <f aca="false">SUM(B8:M8)</f>
        <v>31299652.27</v>
      </c>
    </row>
    <row r="9" customFormat="false" ht="15" hidden="false" customHeight="false" outlineLevel="0" collapsed="false">
      <c r="A9" s="5" t="s">
        <v>45</v>
      </c>
      <c r="B9" s="21" t="n">
        <v>2098919.65</v>
      </c>
      <c r="C9" s="21" t="n">
        <v>1251416.37</v>
      </c>
      <c r="D9" s="21" t="n">
        <v>2181312.64</v>
      </c>
      <c r="E9" s="21" t="n">
        <v>1349008.73</v>
      </c>
      <c r="F9" s="21" t="n">
        <v>1761190.27</v>
      </c>
      <c r="G9" s="21" t="n">
        <v>1667745.1</v>
      </c>
      <c r="H9" s="21" t="n">
        <v>1851488.94</v>
      </c>
      <c r="I9" s="21" t="n">
        <v>2168386.34</v>
      </c>
      <c r="J9" s="21" t="n">
        <v>2087286.21</v>
      </c>
      <c r="K9" s="21" t="n">
        <v>1957448.3</v>
      </c>
      <c r="L9" s="21" t="n">
        <v>2092476.64</v>
      </c>
      <c r="M9" s="21" t="n">
        <v>2015321.42</v>
      </c>
      <c r="N9" s="22" t="n">
        <f aca="false">SUM(B9:M9)</f>
        <v>22482000.61</v>
      </c>
    </row>
    <row r="10" customFormat="false" ht="15" hidden="false" customHeight="false" outlineLevel="0" collapsed="false">
      <c r="A10" s="12" t="s">
        <v>4</v>
      </c>
      <c r="B10" s="13" t="n">
        <f aca="false">SUM(B6:B9)</f>
        <v>12209169.47</v>
      </c>
      <c r="C10" s="13" t="n">
        <f aca="false">SUM(C6:C9)</f>
        <v>10378385.3</v>
      </c>
      <c r="D10" s="13" t="n">
        <f aca="false">SUM(D6:D9)</f>
        <v>11570376.75</v>
      </c>
      <c r="E10" s="13" t="n">
        <f aca="false">SUM(E6:E9)</f>
        <v>11683587.05</v>
      </c>
      <c r="F10" s="13" t="n">
        <f aca="false">SUM(F6:F9)</f>
        <v>11707287.81</v>
      </c>
      <c r="G10" s="13" t="n">
        <f aca="false">SUM(G6:G9)</f>
        <v>8722952.86</v>
      </c>
      <c r="H10" s="13" t="n">
        <f aca="false">SUM(H6:H9)</f>
        <v>12218699.2</v>
      </c>
      <c r="I10" s="13" t="n">
        <f aca="false">SUM(I6:I9)</f>
        <v>10208736.05</v>
      </c>
      <c r="J10" s="13" t="n">
        <f aca="false">SUM(J6:J9)</f>
        <v>9614539.09</v>
      </c>
      <c r="K10" s="13" t="n">
        <f aca="false">SUM(K6:K9)</f>
        <v>10755902.78</v>
      </c>
      <c r="L10" s="13" t="n">
        <f aca="false">SUM(L6:L9)</f>
        <v>11177135.8</v>
      </c>
      <c r="M10" s="13" t="n">
        <f aca="false">SUM(M6:M9)</f>
        <v>13875531.94</v>
      </c>
      <c r="N10" s="13" t="n">
        <f aca="false">SUM(B10:M10)</f>
        <v>134122304.1</v>
      </c>
    </row>
    <row r="12" customFormat="false" ht="15" hidden="false" customHeight="false" outlineLevel="0" collapsed="false">
      <c r="A12" s="19" t="s">
        <v>46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customFormat="false" ht="15" hidden="false" customHeight="false" outlineLevel="0" collapsed="false">
      <c r="A13" s="5" t="s">
        <v>47</v>
      </c>
      <c r="B13" s="21" t="n">
        <v>304523.89</v>
      </c>
      <c r="C13" s="21" t="n">
        <v>883305.79</v>
      </c>
      <c r="D13" s="21" t="n">
        <v>854222.33</v>
      </c>
      <c r="E13" s="21" t="n">
        <v>646888.82</v>
      </c>
      <c r="F13" s="21" t="n">
        <v>632365.43</v>
      </c>
      <c r="G13" s="21" t="n">
        <v>749566.79</v>
      </c>
      <c r="H13" s="21" t="n">
        <v>1073414.3</v>
      </c>
      <c r="I13" s="21" t="n">
        <v>552168.62</v>
      </c>
      <c r="J13" s="21" t="n">
        <v>669786.56</v>
      </c>
      <c r="K13" s="21" t="n">
        <v>1005334.64</v>
      </c>
      <c r="L13" s="21" t="n">
        <v>666346.73</v>
      </c>
      <c r="M13" s="21" t="n">
        <v>681702.85</v>
      </c>
      <c r="N13" s="22" t="n">
        <f aca="false">SUM(B13:M13)</f>
        <v>8719626.75</v>
      </c>
    </row>
    <row r="14" customFormat="false" ht="15" hidden="false" customHeight="false" outlineLevel="0" collapsed="false">
      <c r="A14" s="5" t="s">
        <v>48</v>
      </c>
      <c r="B14" s="21" t="n">
        <v>1085269</v>
      </c>
      <c r="C14" s="21" t="n">
        <v>781194.5</v>
      </c>
      <c r="D14" s="21" t="n">
        <v>515408.21</v>
      </c>
      <c r="E14" s="21" t="n">
        <v>693584.69</v>
      </c>
      <c r="F14" s="21" t="n">
        <v>990579.15</v>
      </c>
      <c r="G14" s="21" t="n">
        <v>511264.32</v>
      </c>
      <c r="H14" s="21" t="n">
        <v>806706.26</v>
      </c>
      <c r="I14" s="21" t="n">
        <v>850647.47</v>
      </c>
      <c r="J14" s="21" t="n">
        <v>736881.57</v>
      </c>
      <c r="K14" s="21" t="n">
        <v>944726.4</v>
      </c>
      <c r="L14" s="21" t="n">
        <v>916155.95</v>
      </c>
      <c r="M14" s="21" t="n">
        <v>1264281.7</v>
      </c>
      <c r="N14" s="22" t="n">
        <f aca="false">SUM(B14:M14)</f>
        <v>10096699.22</v>
      </c>
    </row>
    <row r="15" customFormat="false" ht="15" hidden="false" customHeight="false" outlineLevel="0" collapsed="false">
      <c r="A15" s="5" t="s">
        <v>49</v>
      </c>
      <c r="B15" s="21" t="n">
        <v>692995.17</v>
      </c>
      <c r="C15" s="21" t="n">
        <v>508589.48</v>
      </c>
      <c r="D15" s="21" t="n">
        <v>515730.36</v>
      </c>
      <c r="E15" s="21" t="n">
        <v>475262.83</v>
      </c>
      <c r="F15" s="21" t="n">
        <v>742841.03</v>
      </c>
      <c r="G15" s="21" t="n">
        <v>514975.07</v>
      </c>
      <c r="H15" s="21" t="n">
        <v>589460.88</v>
      </c>
      <c r="I15" s="21" t="n">
        <v>712395.39</v>
      </c>
      <c r="J15" s="21" t="n">
        <v>491480.55</v>
      </c>
      <c r="K15" s="21" t="n">
        <v>555951.31</v>
      </c>
      <c r="L15" s="21" t="n">
        <v>323807.06</v>
      </c>
      <c r="M15" s="21" t="n">
        <v>437628.21</v>
      </c>
      <c r="N15" s="22" t="n">
        <f aca="false">SUM(B15:M15)</f>
        <v>6561117.34</v>
      </c>
    </row>
    <row r="16" customFormat="false" ht="15" hidden="false" customHeight="false" outlineLevel="0" collapsed="false">
      <c r="A16" s="5" t="s">
        <v>50</v>
      </c>
      <c r="B16" s="21" t="n">
        <v>512222.04</v>
      </c>
      <c r="C16" s="21" t="n">
        <v>344838.83</v>
      </c>
      <c r="D16" s="21" t="n">
        <v>527493.18</v>
      </c>
      <c r="E16" s="21" t="n">
        <v>348797.8</v>
      </c>
      <c r="F16" s="21" t="n">
        <v>610649.79</v>
      </c>
      <c r="G16" s="21" t="n">
        <v>500397.6</v>
      </c>
      <c r="H16" s="21" t="n">
        <v>785428.93</v>
      </c>
      <c r="I16" s="21" t="n">
        <v>535105.06</v>
      </c>
      <c r="J16" s="21" t="n">
        <v>670711.19</v>
      </c>
      <c r="K16" s="21" t="n">
        <v>337092</v>
      </c>
      <c r="L16" s="21" t="n">
        <v>484732.58</v>
      </c>
      <c r="M16" s="21" t="n">
        <v>540393.21</v>
      </c>
      <c r="N16" s="22" t="n">
        <f aca="false">SUM(B16:M16)</f>
        <v>6197862.21</v>
      </c>
    </row>
    <row r="17" customFormat="false" ht="15" hidden="false" customHeight="false" outlineLevel="0" collapsed="false">
      <c r="A17" s="5" t="s">
        <v>51</v>
      </c>
      <c r="B17" s="21" t="n">
        <v>343226.36</v>
      </c>
      <c r="C17" s="21" t="n">
        <v>441576.1</v>
      </c>
      <c r="D17" s="21" t="n">
        <v>519349.33</v>
      </c>
      <c r="E17" s="21" t="n">
        <v>398153.32</v>
      </c>
      <c r="F17" s="21" t="n">
        <v>426136.43</v>
      </c>
      <c r="G17" s="21" t="n">
        <v>416796.94</v>
      </c>
      <c r="H17" s="21" t="n">
        <v>508474.11</v>
      </c>
      <c r="I17" s="21" t="n">
        <v>489335.52</v>
      </c>
      <c r="J17" s="21" t="n">
        <v>427369.33</v>
      </c>
      <c r="K17" s="21" t="n">
        <v>298905.57</v>
      </c>
      <c r="L17" s="21" t="n">
        <v>490338.53</v>
      </c>
      <c r="M17" s="21" t="n">
        <v>438104.71</v>
      </c>
      <c r="N17" s="22" t="n">
        <f aca="false">SUM(B17:M17)</f>
        <v>5197766.25</v>
      </c>
    </row>
    <row r="18" customFormat="false" ht="15" hidden="false" customHeight="false" outlineLevel="0" collapsed="false">
      <c r="A18" s="5" t="s">
        <v>52</v>
      </c>
      <c r="B18" s="21" t="n">
        <v>457357.39</v>
      </c>
      <c r="C18" s="21" t="n">
        <v>347383.17</v>
      </c>
      <c r="D18" s="21" t="n">
        <v>520896.33</v>
      </c>
      <c r="E18" s="21" t="n">
        <v>318598.32</v>
      </c>
      <c r="F18" s="21" t="n">
        <v>489392.79</v>
      </c>
      <c r="G18" s="21" t="n">
        <v>360072.91</v>
      </c>
      <c r="H18" s="21" t="n">
        <v>304826.46</v>
      </c>
      <c r="I18" s="21" t="n">
        <v>251260.81</v>
      </c>
      <c r="J18" s="21" t="n">
        <v>336784.83</v>
      </c>
      <c r="K18" s="21" t="n">
        <v>474540.59</v>
      </c>
      <c r="L18" s="21" t="n">
        <v>421432.77</v>
      </c>
      <c r="M18" s="21" t="n">
        <v>410277.34</v>
      </c>
      <c r="N18" s="22" t="n">
        <f aca="false">SUM(B18:M18)</f>
        <v>4692823.71</v>
      </c>
    </row>
    <row r="19" customFormat="false" ht="15" hidden="false" customHeight="false" outlineLevel="0" collapsed="false">
      <c r="A19" s="5" t="s">
        <v>53</v>
      </c>
      <c r="B19" s="22" t="n">
        <f aca="false">SUM(B13:B18)</f>
        <v>3395593.85</v>
      </c>
      <c r="C19" s="22" t="n">
        <f aca="false">SUM(C13:C18)</f>
        <v>3306887.87</v>
      </c>
      <c r="D19" s="22" t="n">
        <f aca="false">SUM(D13:D18)</f>
        <v>3453099.74</v>
      </c>
      <c r="E19" s="22" t="n">
        <f aca="false">SUM(E13:E18)</f>
        <v>2881285.78</v>
      </c>
      <c r="F19" s="22" t="n">
        <f aca="false">SUM(F13:F18)</f>
        <v>3891964.62</v>
      </c>
      <c r="G19" s="22" t="n">
        <f aca="false">SUM(G13:G18)</f>
        <v>3053073.63</v>
      </c>
      <c r="H19" s="22" t="n">
        <f aca="false">SUM(H13:H18)</f>
        <v>4068310.94</v>
      </c>
      <c r="I19" s="22" t="n">
        <f aca="false">SUM(I13:I18)</f>
        <v>3390912.87</v>
      </c>
      <c r="J19" s="22" t="n">
        <f aca="false">SUM(J13:J18)</f>
        <v>3333014.03</v>
      </c>
      <c r="K19" s="22" t="n">
        <f aca="false">SUM(K13:K18)</f>
        <v>3616550.51</v>
      </c>
      <c r="L19" s="22" t="n">
        <f aca="false">SUM(L13:L18)</f>
        <v>3302813.62</v>
      </c>
      <c r="M19" s="22" t="n">
        <f aca="false">SUM(M13:M18)</f>
        <v>3772388.02</v>
      </c>
      <c r="N19" s="22" t="n">
        <f aca="false">SUM(B19:M19)</f>
        <v>41465895.48</v>
      </c>
    </row>
    <row r="20" customFormat="false" ht="15" hidden="false" customHeight="false" outlineLevel="0" collapsed="false">
      <c r="A20" s="5" t="s">
        <v>54</v>
      </c>
      <c r="B20" s="21" t="n">
        <v>287286.05</v>
      </c>
      <c r="C20" s="21" t="n">
        <v>115954.2</v>
      </c>
      <c r="D20" s="21" t="n">
        <v>249530.98</v>
      </c>
      <c r="E20" s="21" t="n">
        <v>229567.7</v>
      </c>
      <c r="F20" s="21" t="n">
        <v>276677.31</v>
      </c>
      <c r="G20" s="21" t="n">
        <v>235619.28</v>
      </c>
      <c r="H20" s="21" t="n">
        <v>202603.56</v>
      </c>
      <c r="I20" s="21" t="n">
        <v>173917.52</v>
      </c>
      <c r="J20" s="21" t="n">
        <v>137591.01</v>
      </c>
      <c r="K20" s="21" t="n">
        <v>209771.14</v>
      </c>
      <c r="L20" s="21" t="n">
        <v>190415.16</v>
      </c>
      <c r="M20" s="21" t="n">
        <v>301013.37</v>
      </c>
      <c r="N20" s="22" t="n">
        <f aca="false">SUM(B20:M20)</f>
        <v>2609947.28</v>
      </c>
    </row>
    <row r="21" customFormat="false" ht="15" hidden="false" customHeight="false" outlineLevel="0" collapsed="false">
      <c r="A21" s="5" t="s">
        <v>55</v>
      </c>
      <c r="B21" s="21" t="n">
        <v>92076.28</v>
      </c>
      <c r="C21" s="21" t="n">
        <v>51042.39</v>
      </c>
      <c r="D21" s="21" t="n">
        <v>33580.44</v>
      </c>
      <c r="E21" s="21" t="n">
        <v>40302.44</v>
      </c>
      <c r="F21" s="21" t="n">
        <v>75631.1</v>
      </c>
      <c r="G21" s="21" t="n">
        <v>75013.34</v>
      </c>
      <c r="H21" s="21" t="n">
        <v>83645.47</v>
      </c>
      <c r="I21" s="21" t="n">
        <v>62183.76</v>
      </c>
      <c r="J21" s="21" t="n">
        <v>53433.42</v>
      </c>
      <c r="K21" s="21" t="n">
        <v>38056.38</v>
      </c>
      <c r="L21" s="21" t="n">
        <v>83336.86</v>
      </c>
      <c r="M21" s="21" t="n">
        <v>84123.54</v>
      </c>
      <c r="N21" s="22" t="n">
        <f aca="false">SUM(B21:M21)</f>
        <v>772425.42</v>
      </c>
    </row>
    <row r="22" customFormat="false" ht="15" hidden="false" customHeight="false" outlineLevel="0" collapsed="false">
      <c r="A22" s="5" t="s">
        <v>56</v>
      </c>
      <c r="B22" s="21" t="n">
        <v>8737.74</v>
      </c>
      <c r="C22" s="21" t="n">
        <v>8383.89</v>
      </c>
      <c r="D22" s="21" t="n">
        <v>6666.25</v>
      </c>
      <c r="E22" s="21" t="n">
        <v>9361.21</v>
      </c>
      <c r="F22" s="21" t="n">
        <v>6761.36</v>
      </c>
      <c r="G22" s="21" t="n">
        <v>5843.54</v>
      </c>
      <c r="H22" s="21" t="n">
        <v>6088.99</v>
      </c>
      <c r="I22" s="21" t="n">
        <v>5976.58</v>
      </c>
      <c r="J22" s="21" t="n">
        <v>3209.96</v>
      </c>
      <c r="K22" s="21" t="n">
        <v>7273.57</v>
      </c>
      <c r="L22" s="21" t="n">
        <v>7437.3</v>
      </c>
      <c r="M22" s="21" t="n">
        <v>6366.03</v>
      </c>
      <c r="N22" s="22" t="n">
        <f aca="false">SUM(B22:M22)</f>
        <v>82106.42</v>
      </c>
    </row>
    <row r="23" customFormat="false" ht="15" hidden="false" customHeight="false" outlineLevel="0" collapsed="false">
      <c r="A23" s="5" t="s">
        <v>57</v>
      </c>
      <c r="B23" s="21" t="n">
        <v>2097572.88</v>
      </c>
      <c r="C23" s="21" t="n">
        <v>1884707.13</v>
      </c>
      <c r="D23" s="21" t="n">
        <v>3078712.92</v>
      </c>
      <c r="E23" s="21" t="n">
        <v>1666416.62</v>
      </c>
      <c r="F23" s="21" t="n">
        <v>1940546.85</v>
      </c>
      <c r="G23" s="21" t="n">
        <v>1809188.45</v>
      </c>
      <c r="H23" s="21" t="n">
        <v>1586808.01</v>
      </c>
      <c r="I23" s="21" t="n">
        <v>2652791.97</v>
      </c>
      <c r="J23" s="21" t="n">
        <v>2312774.02</v>
      </c>
      <c r="K23" s="21" t="n">
        <v>1092218.55</v>
      </c>
      <c r="L23" s="21" t="n">
        <v>1512064.54</v>
      </c>
      <c r="M23" s="21" t="n">
        <v>1859901.35</v>
      </c>
      <c r="N23" s="22" t="n">
        <f aca="false">SUM(B23:M23)</f>
        <v>23493703.29</v>
      </c>
    </row>
    <row r="24" customFormat="false" ht="15" hidden="false" customHeight="false" outlineLevel="0" collapsed="false">
      <c r="A24" s="12" t="s">
        <v>58</v>
      </c>
      <c r="B24" s="13" t="n">
        <f aca="false">SUM(B13:B23)-B19</f>
        <v>5881266.8</v>
      </c>
      <c r="C24" s="13" t="n">
        <f aca="false">SUM(C13:C23)-C19</f>
        <v>5366975.48</v>
      </c>
      <c r="D24" s="13" t="n">
        <f aca="false">SUM(D13:D23)-D19</f>
        <v>6821590.33</v>
      </c>
      <c r="E24" s="13" t="n">
        <f aca="false">SUM(E13:E23)-E19</f>
        <v>4826933.75</v>
      </c>
      <c r="F24" s="13" t="n">
        <f aca="false">SUM(F13:F23)-F19</f>
        <v>6191581.24</v>
      </c>
      <c r="G24" s="13" t="n">
        <f aca="false">SUM(G13:G23)-G19</f>
        <v>5178738.24</v>
      </c>
      <c r="H24" s="13" t="n">
        <f aca="false">SUM(H13:H23)-H19</f>
        <v>5947456.97</v>
      </c>
      <c r="I24" s="13" t="n">
        <f aca="false">SUM(I13:I23)-I19</f>
        <v>6285782.7</v>
      </c>
      <c r="J24" s="13" t="n">
        <f aca="false">SUM(J13:J23)-J19</f>
        <v>5840022.44</v>
      </c>
      <c r="K24" s="13" t="n">
        <f aca="false">SUM(K13:K23)-K19</f>
        <v>4963870.15</v>
      </c>
      <c r="L24" s="13" t="n">
        <f aca="false">SUM(L13:L23)-L19</f>
        <v>5096067.48</v>
      </c>
      <c r="M24" s="13" t="n">
        <f aca="false">SUM(M13:M23)-M19</f>
        <v>6023792.31</v>
      </c>
      <c r="N24" s="13" t="n">
        <f aca="false">SUM(B24:M24)</f>
        <v>68424077.89</v>
      </c>
    </row>
    <row r="26" customFormat="false" ht="15" hidden="false" customHeight="false" outlineLevel="0" collapsed="false">
      <c r="A26" s="12" t="s">
        <v>59</v>
      </c>
      <c r="B26" s="13" t="n">
        <f aca="false">B10-B24</f>
        <v>6327902.67</v>
      </c>
      <c r="C26" s="13" t="n">
        <f aca="false">C10-C24</f>
        <v>5011409.82</v>
      </c>
      <c r="D26" s="13" t="n">
        <f aca="false">D10-D24</f>
        <v>4748786.42</v>
      </c>
      <c r="E26" s="13" t="n">
        <f aca="false">E10-E24</f>
        <v>6856653.3</v>
      </c>
      <c r="F26" s="13" t="n">
        <f aca="false">F10-F24</f>
        <v>5515706.57</v>
      </c>
      <c r="G26" s="13" t="n">
        <f aca="false">G10-G24</f>
        <v>3544214.62</v>
      </c>
      <c r="H26" s="13" t="n">
        <f aca="false">H10-H24</f>
        <v>6271242.23</v>
      </c>
      <c r="I26" s="13" t="n">
        <f aca="false">I10-I24</f>
        <v>3922953.35</v>
      </c>
      <c r="J26" s="13" t="n">
        <f aca="false">J10-J24</f>
        <v>3774516.65</v>
      </c>
      <c r="K26" s="13" t="n">
        <f aca="false">K10-K24</f>
        <v>5792032.63</v>
      </c>
      <c r="L26" s="13" t="n">
        <f aca="false">L10-L24</f>
        <v>6081068.32</v>
      </c>
      <c r="M26" s="13" t="n">
        <f aca="false">M10-M24</f>
        <v>7851739.63</v>
      </c>
      <c r="N26" s="13" t="n">
        <f aca="false">SUM(B26:M26)</f>
        <v>65698226.21</v>
      </c>
    </row>
    <row r="28" customFormat="false" ht="15" hidden="false" customHeight="false" outlineLevel="0" collapsed="false">
      <c r="A28" s="19" t="s">
        <v>60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customFormat="false" ht="15" hidden="false" customHeight="false" outlineLevel="0" collapsed="false">
      <c r="A29" s="5" t="s">
        <v>61</v>
      </c>
      <c r="B29" s="21" t="n">
        <v>1355590.07</v>
      </c>
      <c r="C29" s="21" t="n">
        <v>1728156.74</v>
      </c>
      <c r="D29" s="21" t="n">
        <v>972399.43</v>
      </c>
      <c r="E29" s="21" t="n">
        <v>1441814.97</v>
      </c>
      <c r="F29" s="21" t="n">
        <v>1704459.15</v>
      </c>
      <c r="G29" s="21" t="n">
        <v>1929584.01</v>
      </c>
      <c r="H29" s="21" t="n">
        <v>2179240.67</v>
      </c>
      <c r="I29" s="21" t="n">
        <v>1582340.73</v>
      </c>
      <c r="J29" s="21" t="n">
        <v>1153102.05</v>
      </c>
      <c r="K29" s="21" t="n">
        <v>1783140.16</v>
      </c>
      <c r="L29" s="21" t="n">
        <v>1806794.84</v>
      </c>
      <c r="M29" s="21" t="n">
        <v>1796663.34</v>
      </c>
      <c r="N29" s="22" t="n">
        <f aca="false">SUM(B29:M29)</f>
        <v>19433286.16</v>
      </c>
    </row>
    <row r="30" customFormat="false" ht="15" hidden="false" customHeight="false" outlineLevel="0" collapsed="false">
      <c r="A30" s="5" t="s">
        <v>62</v>
      </c>
      <c r="B30" s="21" t="n">
        <v>1417019.12</v>
      </c>
      <c r="C30" s="21" t="n">
        <v>1608218.89</v>
      </c>
      <c r="D30" s="21" t="n">
        <v>1197442.74</v>
      </c>
      <c r="E30" s="21" t="n">
        <v>1131191.86</v>
      </c>
      <c r="F30" s="21" t="n">
        <v>724446.01</v>
      </c>
      <c r="G30" s="21" t="n">
        <v>828648.75</v>
      </c>
      <c r="H30" s="21" t="n">
        <v>1062315.41</v>
      </c>
      <c r="I30" s="21" t="n">
        <v>1182089.41</v>
      </c>
      <c r="J30" s="21" t="n">
        <v>1202298.35</v>
      </c>
      <c r="K30" s="21" t="n">
        <v>924470.25</v>
      </c>
      <c r="L30" s="21" t="n">
        <v>747615.17</v>
      </c>
      <c r="M30" s="21" t="n">
        <v>845832.27</v>
      </c>
      <c r="N30" s="22" t="n">
        <f aca="false">SUM(B30:M30)</f>
        <v>12871588.23</v>
      </c>
    </row>
    <row r="31" customFormat="false" ht="15" hidden="false" customHeight="false" outlineLevel="0" collapsed="false">
      <c r="A31" s="5" t="s">
        <v>63</v>
      </c>
      <c r="B31" s="21" t="n">
        <v>262993.52</v>
      </c>
      <c r="C31" s="21" t="n">
        <v>362616.5</v>
      </c>
      <c r="D31" s="21" t="n">
        <v>469611.28</v>
      </c>
      <c r="E31" s="21" t="n">
        <v>492800.7</v>
      </c>
      <c r="F31" s="21" t="n">
        <v>555488.5</v>
      </c>
      <c r="G31" s="21" t="n">
        <v>393013.7</v>
      </c>
      <c r="H31" s="21" t="n">
        <v>251763.67</v>
      </c>
      <c r="I31" s="21" t="n">
        <v>374321.87</v>
      </c>
      <c r="J31" s="21" t="n">
        <v>550223.38</v>
      </c>
      <c r="K31" s="21" t="n">
        <v>468894.58</v>
      </c>
      <c r="L31" s="21" t="n">
        <v>214521.43</v>
      </c>
      <c r="M31" s="21" t="n">
        <v>416319.59</v>
      </c>
      <c r="N31" s="22" t="n">
        <f aca="false">SUM(B31:M31)</f>
        <v>4812568.72</v>
      </c>
    </row>
    <row r="32" customFormat="false" ht="15" hidden="false" customHeight="false" outlineLevel="0" collapsed="false">
      <c r="A32" s="5" t="s">
        <v>64</v>
      </c>
      <c r="B32" s="21" t="n">
        <v>227442.05</v>
      </c>
      <c r="C32" s="21" t="n">
        <v>371472.73</v>
      </c>
      <c r="D32" s="21" t="n">
        <v>135017.51</v>
      </c>
      <c r="E32" s="21" t="n">
        <v>293337.76</v>
      </c>
      <c r="F32" s="21" t="n">
        <v>355990.27</v>
      </c>
      <c r="G32" s="21" t="n">
        <v>441761.02</v>
      </c>
      <c r="H32" s="21" t="n">
        <v>325703.97</v>
      </c>
      <c r="I32" s="21" t="n">
        <v>400102.72</v>
      </c>
      <c r="J32" s="21" t="n">
        <v>288079.67</v>
      </c>
      <c r="K32" s="21" t="n">
        <v>260447.68</v>
      </c>
      <c r="L32" s="21" t="n">
        <v>266048.56</v>
      </c>
      <c r="M32" s="21" t="n">
        <v>442186.86</v>
      </c>
      <c r="N32" s="22" t="n">
        <f aca="false">SUM(B32:M32)</f>
        <v>3807590.8</v>
      </c>
    </row>
    <row r="33" customFormat="false" ht="15" hidden="false" customHeight="false" outlineLevel="0" collapsed="false">
      <c r="A33" s="5" t="s">
        <v>65</v>
      </c>
      <c r="B33" s="21" t="n">
        <v>132372.48</v>
      </c>
      <c r="C33" s="21" t="n">
        <v>162499.33</v>
      </c>
      <c r="D33" s="21" t="n">
        <v>148697.14</v>
      </c>
      <c r="E33" s="21" t="n">
        <v>168099.66</v>
      </c>
      <c r="F33" s="21" t="n">
        <v>75798.89</v>
      </c>
      <c r="G33" s="21" t="n">
        <v>240098.71</v>
      </c>
      <c r="H33" s="21" t="n">
        <v>153320.12</v>
      </c>
      <c r="I33" s="21" t="n">
        <v>229716.22</v>
      </c>
      <c r="J33" s="21" t="n">
        <v>119715.51</v>
      </c>
      <c r="K33" s="21" t="n">
        <v>171701.43</v>
      </c>
      <c r="L33" s="21" t="n">
        <v>286597.68</v>
      </c>
      <c r="M33" s="21" t="n">
        <v>125210.83</v>
      </c>
      <c r="N33" s="22" t="n">
        <f aca="false">SUM(B33:M33)</f>
        <v>2013828</v>
      </c>
    </row>
    <row r="34" customFormat="false" ht="15" hidden="false" customHeight="false" outlineLevel="0" collapsed="false">
      <c r="A34" s="5" t="s">
        <v>66</v>
      </c>
      <c r="B34" s="21" t="n">
        <v>82492.81</v>
      </c>
      <c r="C34" s="21" t="n">
        <v>128334.61</v>
      </c>
      <c r="D34" s="21" t="n">
        <v>102197.4</v>
      </c>
      <c r="E34" s="21" t="n">
        <v>117495.62</v>
      </c>
      <c r="F34" s="21" t="n">
        <v>131851.83</v>
      </c>
      <c r="G34" s="21" t="n">
        <v>115231.81</v>
      </c>
      <c r="H34" s="21" t="n">
        <v>107162.9</v>
      </c>
      <c r="I34" s="21" t="n">
        <v>153819.88</v>
      </c>
      <c r="J34" s="21" t="n">
        <v>106092.58</v>
      </c>
      <c r="K34" s="21" t="n">
        <v>92600.89</v>
      </c>
      <c r="L34" s="21" t="n">
        <v>102799.18</v>
      </c>
      <c r="M34" s="21" t="n">
        <v>137069.22</v>
      </c>
      <c r="N34" s="22" t="n">
        <f aca="false">SUM(B34:M34)</f>
        <v>1377148.73</v>
      </c>
    </row>
    <row r="35" customFormat="false" ht="15" hidden="false" customHeight="false" outlineLevel="0" collapsed="false">
      <c r="A35" s="5" t="s">
        <v>67</v>
      </c>
      <c r="B35" s="21" t="n">
        <v>80055.12</v>
      </c>
      <c r="C35" s="21" t="n">
        <v>125320.21</v>
      </c>
      <c r="D35" s="21" t="n">
        <v>42753.94</v>
      </c>
      <c r="E35" s="21" t="n">
        <v>93905.68</v>
      </c>
      <c r="F35" s="21" t="n">
        <v>73875.1</v>
      </c>
      <c r="G35" s="21" t="n">
        <v>77996.05</v>
      </c>
      <c r="H35" s="21" t="n">
        <v>118031.78</v>
      </c>
      <c r="I35" s="21" t="n">
        <v>79828.54</v>
      </c>
      <c r="J35" s="21" t="n">
        <v>124818.87</v>
      </c>
      <c r="K35" s="21" t="n">
        <v>71157.04</v>
      </c>
      <c r="L35" s="21" t="n">
        <v>87010.24</v>
      </c>
      <c r="M35" s="21" t="n">
        <v>70183.05</v>
      </c>
      <c r="N35" s="22" t="n">
        <f aca="false">SUM(B35:M35)</f>
        <v>1044935.62</v>
      </c>
    </row>
    <row r="36" customFormat="false" ht="15" hidden="false" customHeight="false" outlineLevel="0" collapsed="false">
      <c r="A36" s="5" t="s">
        <v>68</v>
      </c>
      <c r="B36" s="21" t="n">
        <v>72077.47</v>
      </c>
      <c r="C36" s="21" t="n">
        <v>79089.11</v>
      </c>
      <c r="D36" s="21" t="n">
        <v>90925.3</v>
      </c>
      <c r="E36" s="21" t="n">
        <v>61024.97</v>
      </c>
      <c r="F36" s="21" t="n">
        <v>39785.03</v>
      </c>
      <c r="G36" s="21" t="n">
        <v>75239.91</v>
      </c>
      <c r="H36" s="21" t="n">
        <v>74020.36</v>
      </c>
      <c r="I36" s="21" t="n">
        <v>59359.82</v>
      </c>
      <c r="J36" s="21" t="n">
        <v>85244.01</v>
      </c>
      <c r="K36" s="21" t="n">
        <v>80632.43</v>
      </c>
      <c r="L36" s="21" t="n">
        <v>52587.63</v>
      </c>
      <c r="M36" s="21" t="n">
        <v>79068.82</v>
      </c>
      <c r="N36" s="22" t="n">
        <f aca="false">SUM(B36:M36)</f>
        <v>849054.86</v>
      </c>
    </row>
    <row r="37" customFormat="false" ht="15" hidden="false" customHeight="false" outlineLevel="0" collapsed="false">
      <c r="A37" s="5" t="s">
        <v>69</v>
      </c>
      <c r="B37" s="21" t="n">
        <v>28529.21</v>
      </c>
      <c r="C37" s="21" t="n">
        <v>18877.31</v>
      </c>
      <c r="D37" s="21" t="n">
        <v>33397.13</v>
      </c>
      <c r="E37" s="21" t="n">
        <v>29660.89</v>
      </c>
      <c r="F37" s="21" t="n">
        <v>24410.38</v>
      </c>
      <c r="G37" s="21" t="n">
        <v>33922.09</v>
      </c>
      <c r="H37" s="21" t="n">
        <v>33660.7</v>
      </c>
      <c r="I37" s="21" t="n">
        <v>25668.47</v>
      </c>
      <c r="J37" s="21" t="n">
        <v>33002.64</v>
      </c>
      <c r="K37" s="21" t="n">
        <v>37612.99</v>
      </c>
      <c r="L37" s="21" t="n">
        <v>24655</v>
      </c>
      <c r="M37" s="21" t="n">
        <v>32856.68</v>
      </c>
      <c r="N37" s="22" t="n">
        <f aca="false">SUM(B37:M37)</f>
        <v>356253.49</v>
      </c>
    </row>
    <row r="38" customFormat="false" ht="15" hidden="false" customHeight="false" outlineLevel="0" collapsed="false">
      <c r="A38" s="12" t="s">
        <v>70</v>
      </c>
      <c r="B38" s="13" t="n">
        <f aca="false">SUM(B29:B37)</f>
        <v>3658571.85</v>
      </c>
      <c r="C38" s="13" t="n">
        <f aca="false">SUM(C29:C37)</f>
        <v>4584585.43</v>
      </c>
      <c r="D38" s="13" t="n">
        <f aca="false">SUM(D29:D37)</f>
        <v>3192441.87</v>
      </c>
      <c r="E38" s="13" t="n">
        <f aca="false">SUM(E29:E37)</f>
        <v>3829332.11</v>
      </c>
      <c r="F38" s="13" t="n">
        <f aca="false">SUM(F29:F37)</f>
        <v>3686105.16</v>
      </c>
      <c r="G38" s="13" t="n">
        <f aca="false">SUM(G29:G37)</f>
        <v>4135496.05</v>
      </c>
      <c r="H38" s="13" t="n">
        <f aca="false">SUM(H29:H37)</f>
        <v>4305219.58</v>
      </c>
      <c r="I38" s="13" t="n">
        <f aca="false">SUM(I29:I37)</f>
        <v>4087247.66</v>
      </c>
      <c r="J38" s="13" t="n">
        <f aca="false">SUM(J29:J37)</f>
        <v>3662577.06</v>
      </c>
      <c r="K38" s="13" t="n">
        <f aca="false">SUM(K29:K37)</f>
        <v>3890657.45</v>
      </c>
      <c r="L38" s="13" t="n">
        <f aca="false">SUM(L29:L37)</f>
        <v>3588629.73</v>
      </c>
      <c r="M38" s="13" t="n">
        <f aca="false">SUM(M29:M37)</f>
        <v>3945390.66</v>
      </c>
      <c r="N38" s="13" t="n">
        <f aca="false">SUM(B38:M38)</f>
        <v>46566254.61</v>
      </c>
    </row>
    <row r="40" customFormat="false" ht="15" hidden="false" customHeight="false" outlineLevel="0" collapsed="false">
      <c r="A40" s="12" t="s">
        <v>71</v>
      </c>
      <c r="B40" s="13" t="n">
        <f aca="false">B24+B38</f>
        <v>9539838.65</v>
      </c>
      <c r="C40" s="13" t="n">
        <f aca="false">C24+C38</f>
        <v>9951560.91</v>
      </c>
      <c r="D40" s="13" t="n">
        <f aca="false">D24+D38</f>
        <v>10014032.2</v>
      </c>
      <c r="E40" s="13" t="n">
        <f aca="false">E24+E38</f>
        <v>8656265.86</v>
      </c>
      <c r="F40" s="13" t="n">
        <f aca="false">F24+F38</f>
        <v>9877686.4</v>
      </c>
      <c r="G40" s="13" t="n">
        <f aca="false">G24+G38</f>
        <v>9314234.29</v>
      </c>
      <c r="H40" s="13" t="n">
        <f aca="false">H24+H38</f>
        <v>10252676.55</v>
      </c>
      <c r="I40" s="13" t="n">
        <f aca="false">I24+I38</f>
        <v>10373030.36</v>
      </c>
      <c r="J40" s="13" t="n">
        <f aca="false">J24+J38</f>
        <v>9502599.5</v>
      </c>
      <c r="K40" s="13" t="n">
        <f aca="false">K24+K38</f>
        <v>8854527.6</v>
      </c>
      <c r="L40" s="13" t="n">
        <f aca="false">L24+L38</f>
        <v>8684697.21</v>
      </c>
      <c r="M40" s="13" t="n">
        <f aca="false">M24+M38</f>
        <v>9969182.97</v>
      </c>
      <c r="N40" s="13" t="n">
        <f aca="false">SUM(B40:M40)</f>
        <v>114990332.5</v>
      </c>
    </row>
    <row r="41" customFormat="false" ht="15" hidden="false" customHeight="false" outlineLevel="0" collapsed="false">
      <c r="A41" s="12" t="s">
        <v>72</v>
      </c>
      <c r="B41" s="13" t="n">
        <f aca="false">B10-B40</f>
        <v>2669330.82</v>
      </c>
      <c r="C41" s="13" t="n">
        <f aca="false">C10-C40</f>
        <v>426824.390000001</v>
      </c>
      <c r="D41" s="13" t="n">
        <f aca="false">D10-D40</f>
        <v>1556344.55</v>
      </c>
      <c r="E41" s="13" t="n">
        <f aca="false">E10-E40</f>
        <v>3027321.19</v>
      </c>
      <c r="F41" s="13" t="n">
        <f aca="false">F10-F40</f>
        <v>1829601.41</v>
      </c>
      <c r="G41" s="13" t="n">
        <f aca="false">G10-G40</f>
        <v>-591281.43</v>
      </c>
      <c r="H41" s="13" t="n">
        <f aca="false">H10-H40</f>
        <v>1966022.65</v>
      </c>
      <c r="I41" s="13" t="n">
        <f aca="false">I10-I40</f>
        <v>-164294.310000001</v>
      </c>
      <c r="J41" s="13" t="n">
        <f aca="false">J10-J40</f>
        <v>111939.59</v>
      </c>
      <c r="K41" s="13" t="n">
        <f aca="false">K10-K40</f>
        <v>1901375.18</v>
      </c>
      <c r="L41" s="13" t="n">
        <f aca="false">L10-L40</f>
        <v>2492438.59</v>
      </c>
      <c r="M41" s="13" t="n">
        <f aca="false">M10-M40</f>
        <v>3906348.97</v>
      </c>
      <c r="N41" s="13" t="n">
        <f aca="false">SUM(B41:M41)</f>
        <v>19131971.6</v>
      </c>
    </row>
    <row r="42" customFormat="false" ht="15" hidden="false" customHeight="false" outlineLevel="0" collapsed="false">
      <c r="A42" s="5" t="s">
        <v>8</v>
      </c>
      <c r="B42" s="11" t="n">
        <f aca="false">IF(B10=0,0,B41/B10)</f>
        <v>0.218633284316267</v>
      </c>
      <c r="C42" s="11" t="n">
        <f aca="false">IF(C10=0,0,C41/C10)</f>
        <v>0.0411262809832278</v>
      </c>
      <c r="D42" s="11" t="n">
        <f aca="false">IF(D10=0,0,D41/D10)</f>
        <v>0.134511138541794</v>
      </c>
      <c r="E42" s="11" t="n">
        <f aca="false">IF(E10=0,0,E41/E10)</f>
        <v>0.259108883003529</v>
      </c>
      <c r="F42" s="11" t="n">
        <f aca="false">IF(F10=0,0,F41/F10)</f>
        <v>0.156278844399573</v>
      </c>
      <c r="G42" s="11" t="n">
        <f aca="false">IF(G10=0,0,G41/G10)</f>
        <v>-0.0677845495086167</v>
      </c>
      <c r="H42" s="11" t="n">
        <f aca="false">IF(H10=0,0,H41/H10)</f>
        <v>0.160902778423418</v>
      </c>
      <c r="I42" s="11" t="n">
        <f aca="false">IF(I10=0,0,I41/I10)</f>
        <v>-0.0160935016044421</v>
      </c>
      <c r="J42" s="11" t="n">
        <f aca="false">IF(J10=0,0,J41/J10)</f>
        <v>0.0116427411602525</v>
      </c>
      <c r="K42" s="11" t="n">
        <f aca="false">IF(K10=0,0,K41/K10)</f>
        <v>0.176775043331137</v>
      </c>
      <c r="L42" s="11" t="n">
        <f aca="false">IF(L10=0,0,L41/L10)</f>
        <v>0.222994390924373</v>
      </c>
      <c r="M42" s="11" t="n">
        <f aca="false">IF(M10=0,0,M41/M10)</f>
        <v>0.281527871283903</v>
      </c>
      <c r="N42" s="11" t="n">
        <f aca="false">IF(N10=0,0,N41/N10)</f>
        <v>0.142645712272699</v>
      </c>
    </row>
    <row r="43" customFormat="false" ht="15" hidden="false" customHeight="false" outlineLevel="0" collapsed="false">
      <c r="A43" s="5" t="s">
        <v>73</v>
      </c>
      <c r="B43" s="22" t="n">
        <f aca="false">B41</f>
        <v>2669330.82</v>
      </c>
      <c r="C43" s="22" t="n">
        <f aca="false">B43+C41</f>
        <v>3096155.21</v>
      </c>
      <c r="D43" s="22" t="n">
        <f aca="false">C43+D41</f>
        <v>4652499.76</v>
      </c>
      <c r="E43" s="22" t="n">
        <f aca="false">D43+E41</f>
        <v>7679820.95</v>
      </c>
      <c r="F43" s="22" t="n">
        <f aca="false">E43+F41</f>
        <v>9509422.36</v>
      </c>
      <c r="G43" s="22" t="n">
        <f aca="false">F43+G41</f>
        <v>8918140.93</v>
      </c>
      <c r="H43" s="22" t="n">
        <f aca="false">G43+H41</f>
        <v>10884163.58</v>
      </c>
      <c r="I43" s="22" t="n">
        <f aca="false">H43+I41</f>
        <v>10719869.27</v>
      </c>
      <c r="J43" s="22" t="n">
        <f aca="false">I43+J41</f>
        <v>10831808.86</v>
      </c>
      <c r="K43" s="22" t="n">
        <f aca="false">J43+K41</f>
        <v>12733184.04</v>
      </c>
      <c r="L43" s="22" t="n">
        <f aca="false">K43+L41</f>
        <v>15225622.63</v>
      </c>
      <c r="M43" s="22" t="n">
        <f aca="false">L43+M41</f>
        <v>19131971.6</v>
      </c>
      <c r="N43" s="22" t="n">
        <f aca="false">M43</f>
        <v>19131971.6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8.55" hidden="false" customHeight="false" outlineLevel="0" collapsed="false">
      <c r="A1" s="17" t="s">
        <v>74</v>
      </c>
    </row>
    <row r="2" customFormat="false" ht="15" hidden="false" customHeight="false" outlineLevel="0" collapsed="false">
      <c r="A2" s="18" t="s">
        <v>75</v>
      </c>
    </row>
    <row r="4" customFormat="false" ht="15" hidden="false" customHeight="false" outlineLevel="0" collapsed="false">
      <c r="A4" s="9" t="s">
        <v>76</v>
      </c>
      <c r="B4" s="10" t="s">
        <v>29</v>
      </c>
      <c r="C4" s="10" t="s">
        <v>30</v>
      </c>
      <c r="D4" s="10" t="s">
        <v>31</v>
      </c>
      <c r="E4" s="10" t="s">
        <v>32</v>
      </c>
      <c r="F4" s="10" t="s">
        <v>33</v>
      </c>
      <c r="G4" s="10" t="s">
        <v>34</v>
      </c>
      <c r="H4" s="10" t="s">
        <v>35</v>
      </c>
      <c r="I4" s="10" t="s">
        <v>36</v>
      </c>
      <c r="J4" s="10" t="s">
        <v>37</v>
      </c>
      <c r="K4" s="10" t="s">
        <v>38</v>
      </c>
      <c r="L4" s="10" t="s">
        <v>39</v>
      </c>
      <c r="M4" s="10" t="s">
        <v>40</v>
      </c>
      <c r="N4" s="10" t="s">
        <v>22</v>
      </c>
    </row>
    <row r="5" customFormat="false" ht="15" hidden="false" customHeight="false" outlineLevel="0" collapsed="false">
      <c r="A5" s="19" t="s">
        <v>77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customFormat="false" ht="15" hidden="false" customHeight="false" outlineLevel="0" collapsed="false">
      <c r="A6" s="5" t="s">
        <v>4</v>
      </c>
      <c r="B6" s="6" t="n">
        <f aca="false">'P&amp;L Statement'!B10</f>
        <v>12209169.47</v>
      </c>
      <c r="C6" s="6" t="n">
        <f aca="false">'P&amp;L Statement'!C10</f>
        <v>10378385.3</v>
      </c>
      <c r="D6" s="6" t="n">
        <f aca="false">'P&amp;L Statement'!D10</f>
        <v>11570376.75</v>
      </c>
      <c r="E6" s="6" t="n">
        <f aca="false">'P&amp;L Statement'!E10</f>
        <v>11683587.05</v>
      </c>
      <c r="F6" s="6" t="n">
        <f aca="false">'P&amp;L Statement'!F10</f>
        <v>11707287.81</v>
      </c>
      <c r="G6" s="6" t="n">
        <f aca="false">'P&amp;L Statement'!G10</f>
        <v>8722952.86</v>
      </c>
      <c r="H6" s="6" t="n">
        <f aca="false">'P&amp;L Statement'!H10</f>
        <v>12218699.2</v>
      </c>
      <c r="I6" s="6" t="n">
        <f aca="false">'P&amp;L Statement'!I10</f>
        <v>10208736.05</v>
      </c>
      <c r="J6" s="6" t="n">
        <f aca="false">'P&amp;L Statement'!J10</f>
        <v>9614539.09</v>
      </c>
      <c r="K6" s="6" t="n">
        <f aca="false">'P&amp;L Statement'!K10</f>
        <v>10755902.78</v>
      </c>
      <c r="L6" s="6" t="n">
        <f aca="false">'P&amp;L Statement'!L10</f>
        <v>11177135.8</v>
      </c>
      <c r="M6" s="6" t="n">
        <f aca="false">'P&amp;L Statement'!M10</f>
        <v>13875531.94</v>
      </c>
      <c r="N6" s="6" t="n">
        <f aca="false">'P&amp;L Statement'!N10</f>
        <v>134122304.1</v>
      </c>
    </row>
    <row r="7" customFormat="false" ht="15" hidden="false" customHeight="false" outlineLevel="0" collapsed="false">
      <c r="A7" s="5" t="s">
        <v>58</v>
      </c>
      <c r="B7" s="6" t="n">
        <f aca="false">'P&amp;L Statement'!B24</f>
        <v>5881266.8</v>
      </c>
      <c r="C7" s="6" t="n">
        <f aca="false">'P&amp;L Statement'!C24</f>
        <v>5366975.48</v>
      </c>
      <c r="D7" s="6" t="n">
        <f aca="false">'P&amp;L Statement'!D24</f>
        <v>6821590.33</v>
      </c>
      <c r="E7" s="6" t="n">
        <f aca="false">'P&amp;L Statement'!E24</f>
        <v>4826933.75</v>
      </c>
      <c r="F7" s="6" t="n">
        <f aca="false">'P&amp;L Statement'!F24</f>
        <v>6191581.24</v>
      </c>
      <c r="G7" s="6" t="n">
        <f aca="false">'P&amp;L Statement'!G24</f>
        <v>5178738.24</v>
      </c>
      <c r="H7" s="6" t="n">
        <f aca="false">'P&amp;L Statement'!H24</f>
        <v>5947456.97</v>
      </c>
      <c r="I7" s="6" t="n">
        <f aca="false">'P&amp;L Statement'!I24</f>
        <v>6285782.7</v>
      </c>
      <c r="J7" s="6" t="n">
        <f aca="false">'P&amp;L Statement'!J24</f>
        <v>5840022.44</v>
      </c>
      <c r="K7" s="6" t="n">
        <f aca="false">'P&amp;L Statement'!K24</f>
        <v>4963870.15</v>
      </c>
      <c r="L7" s="6" t="n">
        <f aca="false">'P&amp;L Statement'!L24</f>
        <v>5096067.48</v>
      </c>
      <c r="M7" s="6" t="n">
        <f aca="false">'P&amp;L Statement'!M24</f>
        <v>6023792.31</v>
      </c>
      <c r="N7" s="6" t="n">
        <f aca="false">'P&amp;L Statement'!N24</f>
        <v>68424077.89</v>
      </c>
    </row>
    <row r="8" customFormat="false" ht="15" hidden="false" customHeight="false" outlineLevel="0" collapsed="false">
      <c r="A8" s="5" t="s">
        <v>70</v>
      </c>
      <c r="B8" s="6" t="n">
        <f aca="false">'P&amp;L Statement'!B38</f>
        <v>3658571.85</v>
      </c>
      <c r="C8" s="6" t="n">
        <f aca="false">'P&amp;L Statement'!C38</f>
        <v>4584585.43</v>
      </c>
      <c r="D8" s="6" t="n">
        <f aca="false">'P&amp;L Statement'!D38</f>
        <v>3192441.87</v>
      </c>
      <c r="E8" s="6" t="n">
        <f aca="false">'P&amp;L Statement'!E38</f>
        <v>3829332.11</v>
      </c>
      <c r="F8" s="6" t="n">
        <f aca="false">'P&amp;L Statement'!F38</f>
        <v>3686105.16</v>
      </c>
      <c r="G8" s="6" t="n">
        <f aca="false">'P&amp;L Statement'!G38</f>
        <v>4135496.05</v>
      </c>
      <c r="H8" s="6" t="n">
        <f aca="false">'P&amp;L Statement'!H38</f>
        <v>4305219.58</v>
      </c>
      <c r="I8" s="6" t="n">
        <f aca="false">'P&amp;L Statement'!I38</f>
        <v>4087247.66</v>
      </c>
      <c r="J8" s="6" t="n">
        <f aca="false">'P&amp;L Statement'!J38</f>
        <v>3662577.06</v>
      </c>
      <c r="K8" s="6" t="n">
        <f aca="false">'P&amp;L Statement'!K38</f>
        <v>3890657.45</v>
      </c>
      <c r="L8" s="6" t="n">
        <f aca="false">'P&amp;L Statement'!L38</f>
        <v>3588629.73</v>
      </c>
      <c r="M8" s="6" t="n">
        <f aca="false">'P&amp;L Statement'!M38</f>
        <v>3945390.66</v>
      </c>
      <c r="N8" s="6" t="n">
        <f aca="false">'P&amp;L Statement'!N38</f>
        <v>46566254.61</v>
      </c>
    </row>
    <row r="9" customFormat="false" ht="15" hidden="false" customHeight="false" outlineLevel="0" collapsed="false">
      <c r="A9" s="5" t="s">
        <v>5</v>
      </c>
      <c r="B9" s="6" t="n">
        <f aca="false">'P&amp;L Statement'!B40</f>
        <v>9539838.65</v>
      </c>
      <c r="C9" s="6" t="n">
        <f aca="false">'P&amp;L Statement'!C40</f>
        <v>9951560.91</v>
      </c>
      <c r="D9" s="6" t="n">
        <f aca="false">'P&amp;L Statement'!D40</f>
        <v>10014032.2</v>
      </c>
      <c r="E9" s="6" t="n">
        <f aca="false">'P&amp;L Statement'!E40</f>
        <v>8656265.86</v>
      </c>
      <c r="F9" s="6" t="n">
        <f aca="false">'P&amp;L Statement'!F40</f>
        <v>9877686.4</v>
      </c>
      <c r="G9" s="6" t="n">
        <f aca="false">'P&amp;L Statement'!G40</f>
        <v>9314234.29</v>
      </c>
      <c r="H9" s="6" t="n">
        <f aca="false">'P&amp;L Statement'!H40</f>
        <v>10252676.55</v>
      </c>
      <c r="I9" s="6" t="n">
        <f aca="false">'P&amp;L Statement'!I40</f>
        <v>10373030.36</v>
      </c>
      <c r="J9" s="6" t="n">
        <f aca="false">'P&amp;L Statement'!J40</f>
        <v>9502599.5</v>
      </c>
      <c r="K9" s="6" t="n">
        <f aca="false">'P&amp;L Statement'!K40</f>
        <v>8854527.6</v>
      </c>
      <c r="L9" s="6" t="n">
        <f aca="false">'P&amp;L Statement'!L40</f>
        <v>8684697.21</v>
      </c>
      <c r="M9" s="6" t="n">
        <f aca="false">'P&amp;L Statement'!M40</f>
        <v>9969182.97</v>
      </c>
      <c r="N9" s="6" t="n">
        <f aca="false">'P&amp;L Statement'!N40</f>
        <v>114990332.5</v>
      </c>
    </row>
    <row r="10" customFormat="false" ht="15" hidden="false" customHeight="false" outlineLevel="0" collapsed="false">
      <c r="A10" s="15" t="s">
        <v>78</v>
      </c>
      <c r="B10" s="6" t="n">
        <f aca="false">'P&amp;L Statement'!B41</f>
        <v>2669330.82</v>
      </c>
      <c r="C10" s="6" t="n">
        <f aca="false">'P&amp;L Statement'!C41</f>
        <v>426824.390000001</v>
      </c>
      <c r="D10" s="6" t="n">
        <f aca="false">'P&amp;L Statement'!D41</f>
        <v>1556344.55</v>
      </c>
      <c r="E10" s="6" t="n">
        <f aca="false">'P&amp;L Statement'!E41</f>
        <v>3027321.19</v>
      </c>
      <c r="F10" s="6" t="n">
        <f aca="false">'P&amp;L Statement'!F41</f>
        <v>1829601.41</v>
      </c>
      <c r="G10" s="6" t="n">
        <f aca="false">'P&amp;L Statement'!G41</f>
        <v>-591281.43</v>
      </c>
      <c r="H10" s="6" t="n">
        <f aca="false">'P&amp;L Statement'!H41</f>
        <v>1966022.65</v>
      </c>
      <c r="I10" s="6" t="n">
        <f aca="false">'P&amp;L Statement'!I41</f>
        <v>-164294.310000001</v>
      </c>
      <c r="J10" s="6" t="n">
        <f aca="false">'P&amp;L Statement'!J41</f>
        <v>111939.59</v>
      </c>
      <c r="K10" s="6" t="n">
        <f aca="false">'P&amp;L Statement'!K41</f>
        <v>1901375.18</v>
      </c>
      <c r="L10" s="6" t="n">
        <f aca="false">'P&amp;L Statement'!L41</f>
        <v>2492438.59</v>
      </c>
      <c r="M10" s="6" t="n">
        <f aca="false">'P&amp;L Statement'!M41</f>
        <v>3906348.97</v>
      </c>
      <c r="N10" s="6" t="n">
        <f aca="false">'P&amp;L Statement'!N41</f>
        <v>19131971.6</v>
      </c>
    </row>
    <row r="11" customFormat="false" ht="15" hidden="false" customHeight="false" outlineLevel="0" collapsed="false">
      <c r="A11" s="19" t="s">
        <v>79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customFormat="false" ht="15" hidden="false" customHeight="false" outlineLevel="0" collapsed="false">
      <c r="A12" s="15" t="s">
        <v>80</v>
      </c>
      <c r="B12" s="7" t="n">
        <f aca="false">IF('P&amp;L Statement'!B10=0,0,('P&amp;L Statement'!B10-'P&amp;L Statement'!B19)/'P&amp;L Statement'!B10)</f>
        <v>0.721881667844521</v>
      </c>
      <c r="C12" s="7" t="n">
        <f aca="false">IF('P&amp;L Statement'!C10=0,0,('P&amp;L Statement'!C10-'P&amp;L Statement'!C19)/'P&amp;L Statement'!C10)</f>
        <v>0.681367787530494</v>
      </c>
      <c r="D12" s="7" t="n">
        <f aca="false">IF('P&amp;L Statement'!D10=0,0,('P&amp;L Statement'!D10-'P&amp;L Statement'!D19)/'P&amp;L Statement'!D10)</f>
        <v>0.701556845156317</v>
      </c>
      <c r="E12" s="7" t="n">
        <f aca="false">IF('P&amp;L Statement'!E10=0,0,('P&amp;L Statement'!E10-'P&amp;L Statement'!E19)/'P&amp;L Statement'!E10)</f>
        <v>0.753390310041812</v>
      </c>
      <c r="F12" s="7" t="n">
        <f aca="false">IF('P&amp;L Statement'!F10=0,0,('P&amp;L Statement'!F10-'P&amp;L Statement'!F19)/'P&amp;L Statement'!F10)</f>
        <v>0.667560524421753</v>
      </c>
      <c r="G12" s="7" t="n">
        <f aca="false">IF('P&amp;L Statement'!G10=0,0,('P&amp;L Statement'!G10-'P&amp;L Statement'!G19)/'P&amp;L Statement'!G10)</f>
        <v>0.649995399608293</v>
      </c>
      <c r="H12" s="7" t="n">
        <f aca="false">IF('P&amp;L Statement'!H10=0,0,('P&amp;L Statement'!H10-'P&amp;L Statement'!H19)/'P&amp;L Statement'!H10)</f>
        <v>0.667042221646638</v>
      </c>
      <c r="I12" s="7" t="n">
        <f aca="false">IF('P&amp;L Statement'!I10=0,0,('P&amp;L Statement'!I10-'P&amp;L Statement'!I19)/'P&amp;L Statement'!I10)</f>
        <v>0.667842046910401</v>
      </c>
      <c r="J12" s="7" t="n">
        <f aca="false">IF('P&amp;L Statement'!J10=0,0,('P&amp;L Statement'!J10-'P&amp;L Statement'!J19)/'P&amp;L Statement'!J10)</f>
        <v>0.653336057110981</v>
      </c>
      <c r="K12" s="7" t="n">
        <f aca="false">IF('P&amp;L Statement'!K10=0,0,('P&amp;L Statement'!K10-'P&amp;L Statement'!K19)/'P&amp;L Statement'!K10)</f>
        <v>0.663761323993671</v>
      </c>
      <c r="L12" s="7" t="n">
        <f aca="false">IF('P&amp;L Statement'!L10=0,0,('P&amp;L Statement'!L10-'P&amp;L Statement'!L19)/'P&amp;L Statement'!L10)</f>
        <v>0.704502684847043</v>
      </c>
      <c r="M12" s="7" t="n">
        <f aca="false">IF('P&amp;L Statement'!M10=0,0,('P&amp;L Statement'!M10-'P&amp;L Statement'!M19)/'P&amp;L Statement'!M10)</f>
        <v>0.728126601825977</v>
      </c>
      <c r="N12" s="7" t="n">
        <f aca="false">IF('P&amp;L Statement'!N10=0,0,('P&amp;L Statement'!N10-'P&amp;L Statement'!N19)/'P&amp;L Statement'!N10)</f>
        <v>0.690835198826561</v>
      </c>
    </row>
    <row r="13" customFormat="false" ht="15" hidden="false" customHeight="false" outlineLevel="0" collapsed="false">
      <c r="A13" s="15" t="s">
        <v>81</v>
      </c>
      <c r="B13" s="7" t="n">
        <f aca="false">IF('P&amp;L Statement'!B10=0,0,'P&amp;L Statement'!B26/'P&amp;L Statement'!B10)</f>
        <v>0.518291001328856</v>
      </c>
      <c r="C13" s="7" t="n">
        <f aca="false">IF('P&amp;L Statement'!C10=0,0,'P&amp;L Statement'!C26/'P&amp;L Statement'!C10)</f>
        <v>0.482869894992239</v>
      </c>
      <c r="D13" s="7" t="n">
        <f aca="false">IF('P&amp;L Statement'!D10=0,0,'P&amp;L Statement'!D26/'P&amp;L Statement'!D10)</f>
        <v>0.410426256863243</v>
      </c>
      <c r="E13" s="7" t="n">
        <f aca="false">IF('P&amp;L Statement'!E10=0,0,'P&amp;L Statement'!E26/'P&amp;L Statement'!E10)</f>
        <v>0.586862003137983</v>
      </c>
      <c r="F13" s="7" t="n">
        <f aca="false">IF('P&amp;L Statement'!F10=0,0,'P&amp;L Statement'!F26/'P&amp;L Statement'!F10)</f>
        <v>0.47113444715083</v>
      </c>
      <c r="G13" s="7" t="n">
        <f aca="false">IF('P&amp;L Statement'!G10=0,0,'P&amp;L Statement'!G26/'P&amp;L Statement'!G10)</f>
        <v>0.406309042004842</v>
      </c>
      <c r="H13" s="7" t="n">
        <f aca="false">IF('P&amp;L Statement'!H10=0,0,'P&amp;L Statement'!H26/'P&amp;L Statement'!H10)</f>
        <v>0.513249579791603</v>
      </c>
      <c r="I13" s="7" t="n">
        <f aca="false">IF('P&amp;L Statement'!I10=0,0,'P&amp;L Statement'!I26/'P&amp;L Statement'!I10)</f>
        <v>0.384274148218378</v>
      </c>
      <c r="J13" s="7" t="n">
        <f aca="false">IF('P&amp;L Statement'!J10=0,0,'P&amp;L Statement'!J26/'P&amp;L Statement'!J10)</f>
        <v>0.392584253354989</v>
      </c>
      <c r="K13" s="7" t="n">
        <f aca="false">IF('P&amp;L Statement'!K10=0,0,'P&amp;L Statement'!K26/'P&amp;L Statement'!K10)</f>
        <v>0.538498046000375</v>
      </c>
      <c r="L13" s="7" t="n">
        <f aca="false">IF('P&amp;L Statement'!L10=0,0,'P&amp;L Statement'!L26/'P&amp;L Statement'!L10)</f>
        <v>0.544063204457085</v>
      </c>
      <c r="M13" s="7" t="n">
        <f aca="false">IF('P&amp;L Statement'!M10=0,0,'P&amp;L Statement'!M26/'P&amp;L Statement'!M10)</f>
        <v>0.565869450191327</v>
      </c>
      <c r="N13" s="7" t="n">
        <f aca="false">IF('P&amp;L Statement'!N10=0,0,'P&amp;L Statement'!N26/'P&amp;L Statement'!N10)</f>
        <v>0.489838186503389</v>
      </c>
    </row>
    <row r="14" customFormat="false" ht="15" hidden="false" customHeight="false" outlineLevel="0" collapsed="false">
      <c r="A14" s="15" t="s">
        <v>82</v>
      </c>
      <c r="B14" s="7" t="n">
        <f aca="false">IF('P&amp;L Statement'!B10=0,0,'P&amp;L Statement'!B41/'P&amp;L Statement'!B10)</f>
        <v>0.218633284316267</v>
      </c>
      <c r="C14" s="7" t="n">
        <f aca="false">IF('P&amp;L Statement'!C10=0,0,'P&amp;L Statement'!C41/'P&amp;L Statement'!C10)</f>
        <v>0.0411262809832278</v>
      </c>
      <c r="D14" s="7" t="n">
        <f aca="false">IF('P&amp;L Statement'!D10=0,0,'P&amp;L Statement'!D41/'P&amp;L Statement'!D10)</f>
        <v>0.134511138541794</v>
      </c>
      <c r="E14" s="7" t="n">
        <f aca="false">IF('P&amp;L Statement'!E10=0,0,'P&amp;L Statement'!E41/'P&amp;L Statement'!E10)</f>
        <v>0.259108883003529</v>
      </c>
      <c r="F14" s="7" t="n">
        <f aca="false">IF('P&amp;L Statement'!F10=0,0,'P&amp;L Statement'!F41/'P&amp;L Statement'!F10)</f>
        <v>0.156278844399573</v>
      </c>
      <c r="G14" s="7" t="n">
        <f aca="false">IF('P&amp;L Statement'!G10=0,0,'P&amp;L Statement'!G41/'P&amp;L Statement'!G10)</f>
        <v>-0.0677845495086167</v>
      </c>
      <c r="H14" s="7" t="n">
        <f aca="false">IF('P&amp;L Statement'!H10=0,0,'P&amp;L Statement'!H41/'P&amp;L Statement'!H10)</f>
        <v>0.160902778423418</v>
      </c>
      <c r="I14" s="7" t="n">
        <f aca="false">IF('P&amp;L Statement'!I10=0,0,'P&amp;L Statement'!I41/'P&amp;L Statement'!I10)</f>
        <v>-0.0160935016044421</v>
      </c>
      <c r="J14" s="7" t="n">
        <f aca="false">IF('P&amp;L Statement'!J10=0,0,'P&amp;L Statement'!J41/'P&amp;L Statement'!J10)</f>
        <v>0.0116427411602525</v>
      </c>
      <c r="K14" s="7" t="n">
        <f aca="false">IF('P&amp;L Statement'!K10=0,0,'P&amp;L Statement'!K41/'P&amp;L Statement'!K10)</f>
        <v>0.176775043331137</v>
      </c>
      <c r="L14" s="7" t="n">
        <f aca="false">IF('P&amp;L Statement'!L10=0,0,'P&amp;L Statement'!L41/'P&amp;L Statement'!L10)</f>
        <v>0.222994390924373</v>
      </c>
      <c r="M14" s="7" t="n">
        <f aca="false">IF('P&amp;L Statement'!M10=0,0,'P&amp;L Statement'!M41/'P&amp;L Statement'!M10)</f>
        <v>0.281527871283903</v>
      </c>
      <c r="N14" s="7" t="n">
        <f aca="false">IF('P&amp;L Statement'!N10=0,0,'P&amp;L Statement'!N41/'P&amp;L Statement'!N10)</f>
        <v>0.142645712272699</v>
      </c>
    </row>
    <row r="15" customFormat="false" ht="15" hidden="false" customHeight="false" outlineLevel="0" collapsed="false">
      <c r="A15" s="19" t="s">
        <v>83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customFormat="false" ht="15" hidden="false" customHeight="false" outlineLevel="0" collapsed="false">
      <c r="A16" s="5" t="s">
        <v>84</v>
      </c>
      <c r="B16" s="7" t="n">
        <f aca="false">IF('P&amp;L Statement'!B10=0,0,'P&amp;L Statement'!B40/'P&amp;L Statement'!B10)</f>
        <v>0.781366715683733</v>
      </c>
      <c r="C16" s="7" t="n">
        <f aca="false">IF('P&amp;L Statement'!C10=0,0,'P&amp;L Statement'!C40/'P&amp;L Statement'!C10)</f>
        <v>0.958873719016772</v>
      </c>
      <c r="D16" s="7" t="n">
        <f aca="false">IF('P&amp;L Statement'!D10=0,0,'P&amp;L Statement'!D40/'P&amp;L Statement'!D10)</f>
        <v>0.865488861458206</v>
      </c>
      <c r="E16" s="7" t="n">
        <f aca="false">IF('P&amp;L Statement'!E10=0,0,'P&amp;L Statement'!E40/'P&amp;L Statement'!E10)</f>
        <v>0.740891116996471</v>
      </c>
      <c r="F16" s="7" t="n">
        <f aca="false">IF('P&amp;L Statement'!F10=0,0,'P&amp;L Statement'!F40/'P&amp;L Statement'!F10)</f>
        <v>0.843721155600428</v>
      </c>
      <c r="G16" s="7" t="n">
        <f aca="false">IF('P&amp;L Statement'!G10=0,0,'P&amp;L Statement'!G40/'P&amp;L Statement'!G10)</f>
        <v>1.06778454950862</v>
      </c>
      <c r="H16" s="7" t="n">
        <f aca="false">IF('P&amp;L Statement'!H10=0,0,'P&amp;L Statement'!H40/'P&amp;L Statement'!H10)</f>
        <v>0.839097221576582</v>
      </c>
      <c r="I16" s="7" t="n">
        <f aca="false">IF('P&amp;L Statement'!I10=0,0,'P&amp;L Statement'!I40/'P&amp;L Statement'!I10)</f>
        <v>1.01609350160444</v>
      </c>
      <c r="J16" s="7" t="n">
        <f aca="false">IF('P&amp;L Statement'!J10=0,0,'P&amp;L Statement'!J40/'P&amp;L Statement'!J10)</f>
        <v>0.988357258839748</v>
      </c>
      <c r="K16" s="7" t="n">
        <f aca="false">IF('P&amp;L Statement'!K10=0,0,'P&amp;L Statement'!K40/'P&amp;L Statement'!K10)</f>
        <v>0.823224956668863</v>
      </c>
      <c r="L16" s="7" t="n">
        <f aca="false">IF('P&amp;L Statement'!L10=0,0,'P&amp;L Statement'!L40/'P&amp;L Statement'!L10)</f>
        <v>0.777005609075627</v>
      </c>
      <c r="M16" s="7" t="n">
        <f aca="false">IF('P&amp;L Statement'!M10=0,0,'P&amp;L Statement'!M40/'P&amp;L Statement'!M10)</f>
        <v>0.718472128716097</v>
      </c>
      <c r="N16" s="7" t="n">
        <f aca="false">IF('P&amp;L Statement'!N10=0,0,'P&amp;L Statement'!N40/'P&amp;L Statement'!N10)</f>
        <v>0.857354287727301</v>
      </c>
    </row>
    <row r="17" customFormat="false" ht="15" hidden="false" customHeight="false" outlineLevel="0" collapsed="false">
      <c r="A17" s="5" t="s">
        <v>10</v>
      </c>
      <c r="B17" s="7" t="n">
        <f aca="false">IF('P&amp;L Statement'!B10=0,0,'P&amp;L Statement'!B24/'P&amp;L Statement'!B10)</f>
        <v>0.481708998671144</v>
      </c>
      <c r="C17" s="7" t="n">
        <f aca="false">IF('P&amp;L Statement'!C10=0,0,'P&amp;L Statement'!C24/'P&amp;L Statement'!C10)</f>
        <v>0.517130105007761</v>
      </c>
      <c r="D17" s="7" t="n">
        <f aca="false">IF('P&amp;L Statement'!D10=0,0,'P&amp;L Statement'!D24/'P&amp;L Statement'!D10)</f>
        <v>0.589573743136757</v>
      </c>
      <c r="E17" s="7" t="n">
        <f aca="false">IF('P&amp;L Statement'!E10=0,0,'P&amp;L Statement'!E24/'P&amp;L Statement'!E10)</f>
        <v>0.413137996862017</v>
      </c>
      <c r="F17" s="7" t="n">
        <f aca="false">IF('P&amp;L Statement'!F10=0,0,'P&amp;L Statement'!F24/'P&amp;L Statement'!F10)</f>
        <v>0.52886555284917</v>
      </c>
      <c r="G17" s="7" t="n">
        <f aca="false">IF('P&amp;L Statement'!G10=0,0,'P&amp;L Statement'!G24/'P&amp;L Statement'!G10)</f>
        <v>0.593690957995158</v>
      </c>
      <c r="H17" s="7" t="n">
        <f aca="false">IF('P&amp;L Statement'!H10=0,0,'P&amp;L Statement'!H24/'P&amp;L Statement'!H10)</f>
        <v>0.486750420208397</v>
      </c>
      <c r="I17" s="7" t="n">
        <f aca="false">IF('P&amp;L Statement'!I10=0,0,'P&amp;L Statement'!I24/'P&amp;L Statement'!I10)</f>
        <v>0.615725851781622</v>
      </c>
      <c r="J17" s="7" t="n">
        <f aca="false">IF('P&amp;L Statement'!J10=0,0,'P&amp;L Statement'!J24/'P&amp;L Statement'!J10)</f>
        <v>0.607415746645012</v>
      </c>
      <c r="K17" s="7" t="n">
        <f aca="false">IF('P&amp;L Statement'!K10=0,0,'P&amp;L Statement'!K24/'P&amp;L Statement'!K10)</f>
        <v>0.461501953999625</v>
      </c>
      <c r="L17" s="7" t="n">
        <f aca="false">IF('P&amp;L Statement'!L10=0,0,'P&amp;L Statement'!L24/'P&amp;L Statement'!L10)</f>
        <v>0.455936795542915</v>
      </c>
      <c r="M17" s="7" t="n">
        <f aca="false">IF('P&amp;L Statement'!M10=0,0,'P&amp;L Statement'!M24/'P&amp;L Statement'!M10)</f>
        <v>0.434130549808673</v>
      </c>
      <c r="N17" s="7" t="n">
        <f aca="false">IF('P&amp;L Statement'!N10=0,0,'P&amp;L Statement'!N24/'P&amp;L Statement'!N10)</f>
        <v>0.510161813496612</v>
      </c>
    </row>
    <row r="18" customFormat="false" ht="15" hidden="false" customHeight="false" outlineLevel="0" collapsed="false">
      <c r="A18" s="5" t="s">
        <v>11</v>
      </c>
      <c r="B18" s="7" t="n">
        <f aca="false">IF('P&amp;L Statement'!B10=0,0,'P&amp;L Statement'!B38/'P&amp;L Statement'!B10)</f>
        <v>0.299657717012589</v>
      </c>
      <c r="C18" s="7" t="n">
        <f aca="false">IF('P&amp;L Statement'!C10=0,0,'P&amp;L Statement'!C38/'P&amp;L Statement'!C10)</f>
        <v>0.441743614009012</v>
      </c>
      <c r="D18" s="7" t="n">
        <f aca="false">IF('P&amp;L Statement'!D10=0,0,'P&amp;L Statement'!D38/'P&amp;L Statement'!D10)</f>
        <v>0.27591511832145</v>
      </c>
      <c r="E18" s="7" t="n">
        <f aca="false">IF('P&amp;L Statement'!E10=0,0,'P&amp;L Statement'!E38/'P&amp;L Statement'!E10)</f>
        <v>0.327753120134454</v>
      </c>
      <c r="F18" s="7" t="n">
        <f aca="false">IF('P&amp;L Statement'!F10=0,0,'P&amp;L Statement'!F38/'P&amp;L Statement'!F10)</f>
        <v>0.314855602751258</v>
      </c>
      <c r="G18" s="7" t="n">
        <f aca="false">IF('P&amp;L Statement'!G10=0,0,'P&amp;L Statement'!G38/'P&amp;L Statement'!G10)</f>
        <v>0.474093591513459</v>
      </c>
      <c r="H18" s="7" t="n">
        <f aca="false">IF('P&amp;L Statement'!H10=0,0,'P&amp;L Statement'!H38/'P&amp;L Statement'!H10)</f>
        <v>0.352346801368185</v>
      </c>
      <c r="I18" s="7" t="n">
        <f aca="false">IF('P&amp;L Statement'!I10=0,0,'P&amp;L Statement'!I38/'P&amp;L Statement'!I10)</f>
        <v>0.40036764982282</v>
      </c>
      <c r="J18" s="7" t="n">
        <f aca="false">IF('P&amp;L Statement'!J10=0,0,'P&amp;L Statement'!J38/'P&amp;L Statement'!J10)</f>
        <v>0.380941512194736</v>
      </c>
      <c r="K18" s="7" t="n">
        <f aca="false">IF('P&amp;L Statement'!K10=0,0,'P&amp;L Statement'!K38/'P&amp;L Statement'!K10)</f>
        <v>0.361723002669238</v>
      </c>
      <c r="L18" s="7" t="n">
        <f aca="false">IF('P&amp;L Statement'!L10=0,0,'P&amp;L Statement'!L38/'P&amp;L Statement'!L10)</f>
        <v>0.321068813532712</v>
      </c>
      <c r="M18" s="7" t="n">
        <f aca="false">IF('P&amp;L Statement'!M10=0,0,'P&amp;L Statement'!M38/'P&amp;L Statement'!M10)</f>
        <v>0.284341578907425</v>
      </c>
      <c r="N18" s="7" t="n">
        <f aca="false">IF('P&amp;L Statement'!N10=0,0,'P&amp;L Statement'!N38/'P&amp;L Statement'!N10)</f>
        <v>0.34719247423069</v>
      </c>
    </row>
    <row r="19" customFormat="false" ht="15" hidden="false" customHeight="false" outlineLevel="0" collapsed="false">
      <c r="A19" s="5" t="s">
        <v>85</v>
      </c>
      <c r="B19" s="7" t="n">
        <f aca="false">IF('P&amp;L Statement'!B40=0,0,'P&amp;L Statement'!B24/'P&amp;L Statement'!B40)</f>
        <v>0.616495416303503</v>
      </c>
      <c r="C19" s="7" t="n">
        <f aca="false">IF('P&amp;L Statement'!C40=0,0,'P&amp;L Statement'!C24/'P&amp;L Statement'!C40)</f>
        <v>0.539309916156661</v>
      </c>
      <c r="D19" s="7" t="n">
        <f aca="false">IF('P&amp;L Statement'!D40=0,0,'P&amp;L Statement'!D24/'P&amp;L Statement'!D40)</f>
        <v>0.681203155108689</v>
      </c>
      <c r="E19" s="7" t="n">
        <f aca="false">IF('P&amp;L Statement'!E40=0,0,'P&amp;L Statement'!E24/'P&amp;L Statement'!E40)</f>
        <v>0.557623093845225</v>
      </c>
      <c r="F19" s="7" t="n">
        <f aca="false">IF('P&amp;L Statement'!F40=0,0,'P&amp;L Statement'!F24/'P&amp;L Statement'!F40)</f>
        <v>0.626825046804483</v>
      </c>
      <c r="G19" s="7" t="n">
        <f aca="false">IF('P&amp;L Statement'!G40=0,0,'P&amp;L Statement'!G24/'P&amp;L Statement'!G40)</f>
        <v>0.556002573991512</v>
      </c>
      <c r="H19" s="7" t="n">
        <f aca="false">IF('P&amp;L Statement'!H40=0,0,'P&amp;L Statement'!H24/'P&amp;L Statement'!H40)</f>
        <v>0.580088227790625</v>
      </c>
      <c r="I19" s="7" t="n">
        <f aca="false">IF('P&amp;L Statement'!I40=0,0,'P&amp;L Statement'!I24/'P&amp;L Statement'!I40)</f>
        <v>0.605973614445297</v>
      </c>
      <c r="J19" s="7" t="n">
        <f aca="false">IF('P&amp;L Statement'!J40=0,0,'P&amp;L Statement'!J24/'P&amp;L Statement'!J40)</f>
        <v>0.614571038166977</v>
      </c>
      <c r="K19" s="7" t="n">
        <f aca="false">IF('P&amp;L Statement'!K40=0,0,'P&amp;L Statement'!K24/'P&amp;L Statement'!K40)</f>
        <v>0.56060248205675</v>
      </c>
      <c r="L19" s="7" t="n">
        <f aca="false">IF('P&amp;L Statement'!L40=0,0,'P&amp;L Statement'!L24/'P&amp;L Statement'!L40)</f>
        <v>0.586787006705557</v>
      </c>
      <c r="M19" s="7" t="n">
        <f aca="false">IF('P&amp;L Statement'!M40=0,0,'P&amp;L Statement'!M24/'P&amp;L Statement'!M40)</f>
        <v>0.604241323298734</v>
      </c>
      <c r="N19" s="7" t="n">
        <f aca="false">IF('P&amp;L Statement'!N40=0,0,'P&amp;L Statement'!N24/'P&amp;L Statement'!N40)</f>
        <v>0.595042003987596</v>
      </c>
    </row>
    <row r="20" customFormat="false" ht="15" hidden="false" customHeight="false" outlineLevel="0" collapsed="false">
      <c r="A20" s="5" t="s">
        <v>86</v>
      </c>
      <c r="B20" s="7" t="n">
        <f aca="false">IF('P&amp;L Statement'!B40=0,0,'P&amp;L Statement'!B38/'P&amp;L Statement'!B40)</f>
        <v>0.383504583696497</v>
      </c>
      <c r="C20" s="7" t="n">
        <f aca="false">IF('P&amp;L Statement'!C40=0,0,'P&amp;L Statement'!C38/'P&amp;L Statement'!C40)</f>
        <v>0.46069008384334</v>
      </c>
      <c r="D20" s="7" t="n">
        <f aca="false">IF('P&amp;L Statement'!D40=0,0,'P&amp;L Statement'!D38/'P&amp;L Statement'!D40)</f>
        <v>0.318796844891312</v>
      </c>
      <c r="E20" s="7" t="n">
        <f aca="false">IF('P&amp;L Statement'!E40=0,0,'P&amp;L Statement'!E38/'P&amp;L Statement'!E40)</f>
        <v>0.442376906154775</v>
      </c>
      <c r="F20" s="7" t="n">
        <f aca="false">IF('P&amp;L Statement'!F40=0,0,'P&amp;L Statement'!F38/'P&amp;L Statement'!F40)</f>
        <v>0.373174953195518</v>
      </c>
      <c r="G20" s="7" t="n">
        <f aca="false">IF('P&amp;L Statement'!G40=0,0,'P&amp;L Statement'!G38/'P&amp;L Statement'!G40)</f>
        <v>0.443997426008488</v>
      </c>
      <c r="H20" s="7" t="n">
        <f aca="false">IF('P&amp;L Statement'!H40=0,0,'P&amp;L Statement'!H38/'P&amp;L Statement'!H40)</f>
        <v>0.419911772209375</v>
      </c>
      <c r="I20" s="7" t="n">
        <f aca="false">IF('P&amp;L Statement'!I40=0,0,'P&amp;L Statement'!I38/'P&amp;L Statement'!I40)</f>
        <v>0.394026385554703</v>
      </c>
      <c r="J20" s="7" t="n">
        <f aca="false">IF('P&amp;L Statement'!J40=0,0,'P&amp;L Statement'!J38/'P&amp;L Statement'!J40)</f>
        <v>0.385428961833023</v>
      </c>
      <c r="K20" s="7" t="n">
        <f aca="false">IF('P&amp;L Statement'!K40=0,0,'P&amp;L Statement'!K38/'P&amp;L Statement'!K40)</f>
        <v>0.43939751794325</v>
      </c>
      <c r="L20" s="7" t="n">
        <f aca="false">IF('P&amp;L Statement'!L40=0,0,'P&amp;L Statement'!L38/'P&amp;L Statement'!L40)</f>
        <v>0.413212993294443</v>
      </c>
      <c r="M20" s="7" t="n">
        <f aca="false">IF('P&amp;L Statement'!M40=0,0,'P&amp;L Statement'!M38/'P&amp;L Statement'!M40)</f>
        <v>0.395758676701266</v>
      </c>
      <c r="N20" s="7" t="n">
        <f aca="false">IF('P&amp;L Statement'!N40=0,0,'P&amp;L Statement'!N38/'P&amp;L Statement'!N40)</f>
        <v>0.404957996012404</v>
      </c>
    </row>
    <row r="21" customFormat="false" ht="15" hidden="false" customHeight="false" outlineLevel="0" collapsed="false">
      <c r="A21" s="19" t="s">
        <v>87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customFormat="false" ht="15" hidden="false" customHeight="false" outlineLevel="0" collapsed="false">
      <c r="A22" s="5" t="s">
        <v>88</v>
      </c>
      <c r="B22" s="23" t="str">
        <f aca="false">"-"</f>
        <v>-</v>
      </c>
      <c r="C22" s="7" t="n">
        <f aca="false">IF('P&amp;L Statement'!B10=0,0,'P&amp;L Statement'!C10/'P&amp;L Statement'!B10-1)</f>
        <v>-0.149951573241615</v>
      </c>
      <c r="D22" s="7" t="n">
        <f aca="false">IF('P&amp;L Statement'!C10=0,0,'P&amp;L Statement'!D10/'P&amp;L Statement'!C10-1)</f>
        <v>0.114853266239788</v>
      </c>
      <c r="E22" s="7" t="n">
        <f aca="false">IF('P&amp;L Statement'!D10=0,0,'P&amp;L Statement'!E10/'P&amp;L Statement'!D10-1)</f>
        <v>0.00978449556536698</v>
      </c>
      <c r="F22" s="7" t="n">
        <f aca="false">IF('P&amp;L Statement'!E10=0,0,'P&amp;L Statement'!F10/'P&amp;L Statement'!E10-1)</f>
        <v>0.00202855166812821</v>
      </c>
      <c r="G22" s="7" t="n">
        <f aca="false">IF('P&amp;L Statement'!F10=0,0,'P&amp;L Statement'!G10/'P&amp;L Statement'!F10-1)</f>
        <v>-0.254912580815761</v>
      </c>
      <c r="H22" s="7" t="n">
        <f aca="false">IF('P&amp;L Statement'!G10=0,0,'P&amp;L Statement'!H10/'P&amp;L Statement'!G10-1)</f>
        <v>0.40075263458434</v>
      </c>
      <c r="I22" s="7" t="n">
        <f aca="false">IF('P&amp;L Statement'!H10=0,0,'P&amp;L Statement'!I10/'P&amp;L Statement'!H10-1)</f>
        <v>-0.164498946827335</v>
      </c>
      <c r="J22" s="7" t="n">
        <f aca="false">IF('P&amp;L Statement'!I10=0,0,'P&amp;L Statement'!J10/'P&amp;L Statement'!I10-1)</f>
        <v>-0.0582047529772306</v>
      </c>
      <c r="K22" s="7" t="n">
        <f aca="false">IF('P&amp;L Statement'!J10=0,0,'P&amp;L Statement'!K10/'P&amp;L Statement'!J10-1)</f>
        <v>0.118712262680083</v>
      </c>
      <c r="L22" s="7" t="n">
        <f aca="false">IF('P&amp;L Statement'!K10=0,0,'P&amp;L Statement'!L10/'P&amp;L Statement'!K10-1)</f>
        <v>0.0391629627578318</v>
      </c>
      <c r="M22" s="7" t="n">
        <f aca="false">IF('P&amp;L Statement'!L10=0,0,'P&amp;L Statement'!M10/'P&amp;L Statement'!L10-1)</f>
        <v>0.241421074977008</v>
      </c>
      <c r="N22" s="7" t="str">
        <f aca="false">"-"</f>
        <v>-</v>
      </c>
    </row>
    <row r="23" customFormat="false" ht="15" hidden="false" customHeight="false" outlineLevel="0" collapsed="false">
      <c r="A23" s="5" t="s">
        <v>89</v>
      </c>
      <c r="B23" s="23" t="str">
        <f aca="false">"-"</f>
        <v>-</v>
      </c>
      <c r="C23" s="7" t="n">
        <f aca="false">IF('P&amp;L Statement'!B41=0,0,'P&amp;L Statement'!C41/'P&amp;L Statement'!B41-1)</f>
        <v>-0.840100602442375</v>
      </c>
      <c r="D23" s="7" t="n">
        <f aca="false">IF('P&amp;L Statement'!C41=0,0,'P&amp;L Statement'!D41/'P&amp;L Statement'!C41-1)</f>
        <v>2.64633462019356</v>
      </c>
      <c r="E23" s="7" t="n">
        <f aca="false">IF('P&amp;L Statement'!D41=0,0,'P&amp;L Statement'!E41/'P&amp;L Statement'!D41-1)</f>
        <v>0.945148450579276</v>
      </c>
      <c r="F23" s="7" t="n">
        <f aca="false">IF('P&amp;L Statement'!E41=0,0,'P&amp;L Statement'!F41/'P&amp;L Statement'!E41-1)</f>
        <v>-0.395636836935693</v>
      </c>
      <c r="G23" s="7" t="n">
        <f aca="false">IF('P&amp;L Statement'!F41=0,0,'P&amp;L Statement'!G41/'P&amp;L Statement'!F41-1)</f>
        <v>-1.32317499689727</v>
      </c>
      <c r="H23" s="7" t="n">
        <f aca="false">IF('P&amp;L Statement'!G41=0,0,'P&amp;L Statement'!H41/'P&amp;L Statement'!G41-1)</f>
        <v>-4.32502011774664</v>
      </c>
      <c r="I23" s="7" t="n">
        <f aca="false">IF('P&amp;L Statement'!H41=0,0,'P&amp;L Statement'!I41/'P&amp;L Statement'!H41-1)</f>
        <v>-1.08356684496997</v>
      </c>
      <c r="J23" s="7" t="n">
        <f aca="false">IF('P&amp;L Statement'!I41=0,0,'P&amp;L Statement'!J41/'P&amp;L Statement'!I41-1)</f>
        <v>-1.68133576871895</v>
      </c>
      <c r="K23" s="7" t="n">
        <f aca="false">IF('P&amp;L Statement'!J41=0,0,'P&amp;L Statement'!K41/'P&amp;L Statement'!J41-1)</f>
        <v>15.9857257829871</v>
      </c>
      <c r="L23" s="7" t="n">
        <f aca="false">IF('P&amp;L Statement'!K41=0,0,'P&amp;L Statement'!L41/'P&amp;L Statement'!K41-1)</f>
        <v>0.310861010608122</v>
      </c>
      <c r="M23" s="7" t="n">
        <f aca="false">IF('P&amp;L Statement'!L41=0,0,'P&amp;L Statement'!M41/'P&amp;L Statement'!L41-1)</f>
        <v>0.567279926443442</v>
      </c>
      <c r="N23" s="7" t="str">
        <f aca="false">"-"</f>
        <v>-</v>
      </c>
    </row>
    <row r="24" customFormat="false" ht="15" hidden="false" customHeight="false" outlineLevel="0" collapsed="false">
      <c r="A24" s="19" t="s">
        <v>90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customFormat="false" ht="15" hidden="false" customHeight="false" outlineLevel="0" collapsed="false">
      <c r="A25" s="5" t="s">
        <v>91</v>
      </c>
      <c r="B25" s="6" t="n">
        <f aca="false">IF('P&amp;L Statement'!B10=0,0,'P&amp;L Statement'!B38/IF('P&amp;L Statement'!B10=0,1,'P&amp;L Statement'!B26/'P&amp;L Statement'!B10))</f>
        <v>7058914.47202386</v>
      </c>
      <c r="C25" s="6" t="n">
        <f aca="false">IF('P&amp;L Statement'!C10=0,0,'P&amp;L Statement'!C38/IF('P&amp;L Statement'!C10=0,1,'P&amp;L Statement'!C26/'P&amp;L Statement'!C10))</f>
        <v>9494452.80715561</v>
      </c>
      <c r="D25" s="6" t="n">
        <f aca="false">IF('P&amp;L Statement'!D10=0,0,'P&amp;L Statement'!D38/IF('P&amp;L Statement'!D10=0,1,'P&amp;L Statement'!D26/'P&amp;L Statement'!D10))</f>
        <v>7778356.80981722</v>
      </c>
      <c r="E25" s="6" t="n">
        <f aca="false">IF('P&amp;L Statement'!E10=0,0,'P&amp;L Statement'!E38/IF('P&amp;L Statement'!E10=0,1,'P&amp;L Statement'!E26/'P&amp;L Statement'!E10))</f>
        <v>6525098.0460898</v>
      </c>
      <c r="F25" s="6" t="n">
        <f aca="false">IF('P&amp;L Statement'!F10=0,0,'P&amp;L Statement'!F38/IF('P&amp;L Statement'!F10=0,1,'P&amp;L Statement'!F26/'P&amp;L Statement'!F10))</f>
        <v>7823892.27171055</v>
      </c>
      <c r="G25" s="6" t="n">
        <f aca="false">IF('P&amp;L Statement'!G10=0,0,'P&amp;L Statement'!G38/IF('P&amp;L Statement'!G10=0,1,'P&amp;L Statement'!G26/'P&amp;L Statement'!G10))</f>
        <v>10178203.3439234</v>
      </c>
      <c r="H25" s="6" t="n">
        <f aca="false">IF('P&amp;L Statement'!H10=0,0,'P&amp;L Statement'!H38/IF('P&amp;L Statement'!H10=0,1,'P&amp;L Statement'!H26/'P&amp;L Statement'!H10))</f>
        <v>8388159.97033659</v>
      </c>
      <c r="I25" s="6" t="n">
        <f aca="false">IF('P&amp;L Statement'!I10=0,0,'P&amp;L Statement'!I38/IF('P&amp;L Statement'!I10=0,1,'P&amp;L Statement'!I26/'P&amp;L Statement'!I10))</f>
        <v>10636280.5797627</v>
      </c>
      <c r="J25" s="6" t="n">
        <f aca="false">IF('P&amp;L Statement'!J10=0,0,'P&amp;L Statement'!J38/IF('P&amp;L Statement'!J10=0,1,'P&amp;L Statement'!J26/'P&amp;L Statement'!J10))</f>
        <v>9329403.88897404</v>
      </c>
      <c r="K25" s="6" t="n">
        <f aca="false">IF('P&amp;L Statement'!K10=0,0,'P&amp;L Statement'!K38/IF('P&amp;L Statement'!K10=0,1,'P&amp;L Statement'!K26/'P&amp;L Statement'!K10))</f>
        <v>7225016.83877473</v>
      </c>
      <c r="L25" s="6" t="n">
        <f aca="false">IF('P&amp;L Statement'!L10=0,0,'P&amp;L Statement'!L38/IF('P&amp;L Statement'!L10=0,1,'P&amp;L Statement'!L26/'P&amp;L Statement'!L10))</f>
        <v>6595979.47554836</v>
      </c>
      <c r="M25" s="6" t="n">
        <f aca="false">IF('P&amp;L Statement'!M10=0,0,'P&amp;L Statement'!M38/IF('P&amp;L Statement'!M10=0,1,'P&amp;L Statement'!M26/'P&amp;L Statement'!M10))</f>
        <v>6972263.05231006</v>
      </c>
      <c r="N25" s="6" t="n">
        <f aca="false">IF('P&amp;L Statement'!N10=0,0,'P&amp;L Statement'!N38/IF('P&amp;L Statement'!N10=0,1,'P&amp;L Statement'!N26/'P&amp;L Statement'!N10))</f>
        <v>95064565.9996495</v>
      </c>
    </row>
    <row r="26" customFormat="false" ht="15" hidden="false" customHeight="false" outlineLevel="0" collapsed="false">
      <c r="A26" s="15" t="s">
        <v>92</v>
      </c>
      <c r="B26" s="7" t="n">
        <f aca="false">IF('P&amp;L Statement'!B26=0,0,('P&amp;L Statement'!B41)/'P&amp;L Statement'!B26)</f>
        <v>0.421834999557602</v>
      </c>
      <c r="C26" s="7" t="n">
        <f aca="false">IF('P&amp;L Statement'!C26=0,0,('P&amp;L Statement'!C41)/'P&amp;L Statement'!C26)</f>
        <v>0.085170521935083</v>
      </c>
      <c r="D26" s="7" t="n">
        <f aca="false">IF('P&amp;L Statement'!D26=0,0,('P&amp;L Statement'!D41)/'P&amp;L Statement'!D26)</f>
        <v>0.327735217453726</v>
      </c>
      <c r="E26" s="7" t="n">
        <f aca="false">IF('P&amp;L Statement'!E26=0,0,('P&amp;L Statement'!E41)/'P&amp;L Statement'!E26)</f>
        <v>0.441515861681383</v>
      </c>
      <c r="F26" s="7" t="n">
        <f aca="false">IF('P&amp;L Statement'!F26=0,0,('P&amp;L Statement'!F41)/'P&amp;L Statement'!F26)</f>
        <v>0.331707531352597</v>
      </c>
      <c r="G26" s="7" t="n">
        <f aca="false">IF('P&amp;L Statement'!G26=0,0,('P&amp;L Statement'!G41)/'P&amp;L Statement'!G26)</f>
        <v>-0.16683002961034</v>
      </c>
      <c r="H26" s="7" t="n">
        <f aca="false">IF('P&amp;L Statement'!H26=0,0,('P&amp;L Statement'!H41)/'P&amp;L Statement'!H26)</f>
        <v>0.313498120132413</v>
      </c>
      <c r="I26" s="7" t="n">
        <f aca="false">IF('P&amp;L Statement'!I26=0,0,('P&amp;L Statement'!I41)/'P&amp;L Statement'!I26)</f>
        <v>-0.0418802609518669</v>
      </c>
      <c r="J26" s="7" t="n">
        <f aca="false">IF('P&amp;L Statement'!J26=0,0,('P&amp;L Statement'!J41)/'P&amp;L Statement'!J26)</f>
        <v>0.0296566687551901</v>
      </c>
      <c r="K26" s="7" t="n">
        <f aca="false">IF('P&amp;L Statement'!K26=0,0,('P&amp;L Statement'!K41)/'P&amp;L Statement'!K26)</f>
        <v>0.32827425214281</v>
      </c>
      <c r="L26" s="7" t="n">
        <f aca="false">IF('P&amp;L Statement'!L26=0,0,('P&amp;L Statement'!L41)/'P&amp;L Statement'!L26)</f>
        <v>0.40986853934902</v>
      </c>
      <c r="M26" s="7" t="n">
        <f aca="false">IF('P&amp;L Statement'!M26=0,0,('P&amp;L Statement'!M41)/'P&amp;L Statement'!M26)</f>
        <v>0.497513819112721</v>
      </c>
      <c r="N26" s="7" t="n">
        <f aca="false">IF('P&amp;L Statement'!N26=0,0,('P&amp;L Statement'!N41)/'P&amp;L Statement'!N26)</f>
        <v>0.291209865222935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2026-07-24T05:54:51Z</dcterms:created>
  <dc:creator>openpyxl</dc:creator>
  <dc:description/>
  <dc:language>en-US</dc:language>
  <cp:lastModifiedBy/>
  <dcterms:modified xsi:type="dcterms:W3CDTF">2026-07-24T05:55:38Z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